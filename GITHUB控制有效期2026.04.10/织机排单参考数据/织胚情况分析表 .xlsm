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tabRatio="792" firstSheet="1" activeTab="1"/>
  </bookViews>
  <sheets>
    <sheet name="09.07" sheetId="1" state="hidden" r:id="rId1"/>
    <sheet name="Greige" sheetId="2" r:id="rId2"/>
    <sheet name="SD058" sheetId="4" r:id="rId3"/>
    <sheet name="PP055-MO" sheetId="5" r:id="rId4"/>
    <sheet name="PP055-OW" sheetId="6" r:id="rId5"/>
    <sheet name="WM014" sheetId="7" r:id="rId6"/>
    <sheet name="Sheet1" sheetId="8" r:id="rId7"/>
  </sheets>
  <functionGroups builtInGroupCount="18"/>
  <definedNames>
    <definedName name="_xlnm._FilterDatabase" localSheetId="4" hidden="1">'PP055-OW'!$A$1:$B$58</definedName>
    <definedName name="_xlnm._FilterDatabase" localSheetId="2" hidden="1">'SD058'!$A$1:$B$53</definedName>
    <definedName name="_xlnm._FilterDatabase" localSheetId="5" hidden="1">'WM014'!$A$1:$B$2005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06" i="2" l="1"/>
  <c r="K106" i="2"/>
  <c r="L106" i="2"/>
  <c r="M106" i="2"/>
  <c r="N106" i="2" s="1"/>
  <c r="O106" i="2"/>
  <c r="E106" i="2"/>
  <c r="P106" i="2" l="1"/>
  <c r="E11" i="2"/>
  <c r="J11" i="2"/>
  <c r="K11" i="2"/>
  <c r="L11" i="2"/>
  <c r="M11" i="2"/>
  <c r="N11" i="2" s="1"/>
  <c r="O11" i="2"/>
  <c r="P11" i="2" l="1"/>
  <c r="J81" i="2"/>
  <c r="K81" i="2"/>
  <c r="L81" i="2"/>
  <c r="M81" i="2"/>
  <c r="N81" i="2" s="1"/>
  <c r="O81" i="2"/>
  <c r="E81" i="2"/>
  <c r="P81" i="2" l="1"/>
  <c r="J16" i="2"/>
  <c r="K16" i="2"/>
  <c r="L16" i="2"/>
  <c r="M16" i="2"/>
  <c r="N16" i="2" s="1"/>
  <c r="O16" i="2"/>
  <c r="P16" i="2" l="1"/>
  <c r="J103" i="2" l="1"/>
  <c r="K103" i="2"/>
  <c r="L103" i="2"/>
  <c r="M103" i="2"/>
  <c r="N103" i="2" s="1"/>
  <c r="O103" i="2"/>
  <c r="E103" i="2"/>
  <c r="J78" i="2"/>
  <c r="K78" i="2"/>
  <c r="L78" i="2"/>
  <c r="M78" i="2"/>
  <c r="N78" i="2" s="1"/>
  <c r="O78" i="2"/>
  <c r="P103" i="2" l="1"/>
  <c r="P78" i="2"/>
  <c r="E78" i="2" l="1"/>
  <c r="E108" i="2" l="1"/>
  <c r="J36" i="2" l="1"/>
  <c r="K36" i="2"/>
  <c r="L36" i="2"/>
  <c r="M36" i="2"/>
  <c r="N36" i="2" s="1"/>
  <c r="O36" i="2"/>
  <c r="J37" i="2"/>
  <c r="K37" i="2"/>
  <c r="L37" i="2"/>
  <c r="M37" i="2"/>
  <c r="N37" i="2" s="1"/>
  <c r="O37" i="2"/>
  <c r="J38" i="2"/>
  <c r="K38" i="2"/>
  <c r="L38" i="2"/>
  <c r="M38" i="2"/>
  <c r="N38" i="2" s="1"/>
  <c r="O38" i="2"/>
  <c r="J39" i="2"/>
  <c r="K39" i="2"/>
  <c r="L39" i="2"/>
  <c r="M39" i="2"/>
  <c r="N39" i="2" s="1"/>
  <c r="O39" i="2"/>
  <c r="E36" i="2"/>
  <c r="P39" i="2" l="1"/>
  <c r="P37" i="2"/>
  <c r="P38" i="2"/>
  <c r="P36" i="2"/>
  <c r="J77" i="2" l="1"/>
  <c r="K77" i="2"/>
  <c r="L77" i="2"/>
  <c r="M77" i="2"/>
  <c r="N77" i="2" s="1"/>
  <c r="O77" i="2"/>
  <c r="E77" i="2"/>
  <c r="P77" i="2" l="1"/>
  <c r="J35" i="2"/>
  <c r="K35" i="2"/>
  <c r="L35" i="2"/>
  <c r="M35" i="2"/>
  <c r="N35" i="2" s="1"/>
  <c r="O35" i="2"/>
  <c r="J95" i="2"/>
  <c r="K95" i="2"/>
  <c r="L95" i="2"/>
  <c r="M95" i="2"/>
  <c r="N95" i="2" s="1"/>
  <c r="O95" i="2"/>
  <c r="J33" i="2"/>
  <c r="K33" i="2"/>
  <c r="L33" i="2"/>
  <c r="M33" i="2"/>
  <c r="N33" i="2" s="1"/>
  <c r="O33" i="2"/>
  <c r="J34" i="2"/>
  <c r="K34" i="2"/>
  <c r="L34" i="2"/>
  <c r="M34" i="2"/>
  <c r="N34" i="2" s="1"/>
  <c r="O34" i="2"/>
  <c r="E35" i="2"/>
  <c r="P35" i="2" l="1"/>
  <c r="P33" i="2"/>
  <c r="P34" i="2"/>
  <c r="P95" i="2"/>
  <c r="J108" i="2" l="1"/>
  <c r="K108" i="2"/>
  <c r="L108" i="2"/>
  <c r="M108" i="2"/>
  <c r="N108" i="2" s="1"/>
  <c r="O108" i="2"/>
  <c r="P108" i="2" l="1"/>
  <c r="J112" i="2"/>
  <c r="K112" i="2"/>
  <c r="L112" i="2"/>
  <c r="M112" i="2"/>
  <c r="N112" i="2" s="1"/>
  <c r="O112" i="2"/>
  <c r="E112" i="2"/>
  <c r="P112" i="2" l="1"/>
  <c r="E32" i="2"/>
  <c r="E33" i="2"/>
  <c r="E34" i="2"/>
  <c r="E15" i="2"/>
  <c r="J80" i="2" l="1"/>
  <c r="K80" i="2"/>
  <c r="L80" i="2"/>
  <c r="M80" i="2"/>
  <c r="N80" i="2" s="1"/>
  <c r="O80" i="2"/>
  <c r="E80" i="2"/>
  <c r="P80" i="2" l="1"/>
  <c r="J71" i="2" l="1"/>
  <c r="K71" i="2"/>
  <c r="L71" i="2"/>
  <c r="M71" i="2"/>
  <c r="N71" i="2" s="1"/>
  <c r="O71" i="2"/>
  <c r="E71" i="2"/>
  <c r="P71" i="2" l="1"/>
  <c r="J104" i="2"/>
  <c r="K104" i="2"/>
  <c r="L104" i="2"/>
  <c r="M104" i="2"/>
  <c r="N104" i="2" s="1"/>
  <c r="O104" i="2"/>
  <c r="E104" i="2"/>
  <c r="P104" i="2" l="1"/>
  <c r="J73" i="2" l="1"/>
  <c r="K73" i="2"/>
  <c r="L73" i="2"/>
  <c r="M73" i="2"/>
  <c r="N73" i="2" s="1"/>
  <c r="O73" i="2"/>
  <c r="E73" i="2"/>
  <c r="P73" i="2" l="1"/>
  <c r="J82" i="2" l="1"/>
  <c r="K82" i="2"/>
  <c r="L82" i="2"/>
  <c r="M82" i="2"/>
  <c r="N82" i="2" s="1"/>
  <c r="O82" i="2"/>
  <c r="E82" i="2"/>
  <c r="P82" i="2" l="1"/>
  <c r="J15" i="2"/>
  <c r="K15" i="2"/>
  <c r="L15" i="2"/>
  <c r="M15" i="2"/>
  <c r="N15" i="2" s="1"/>
  <c r="O15" i="2"/>
  <c r="P15" i="2" l="1"/>
  <c r="E20" i="2"/>
  <c r="J20" i="2"/>
  <c r="K20" i="2"/>
  <c r="L20" i="2"/>
  <c r="M20" i="2"/>
  <c r="N20" i="2" s="1"/>
  <c r="O20" i="2"/>
  <c r="P20" i="2" l="1"/>
  <c r="J22" i="2"/>
  <c r="K22" i="2"/>
  <c r="L22" i="2"/>
  <c r="M22" i="2"/>
  <c r="N22" i="2" s="1"/>
  <c r="O22" i="2"/>
  <c r="J27" i="2"/>
  <c r="K27" i="2"/>
  <c r="L27" i="2"/>
  <c r="M27" i="2"/>
  <c r="N27" i="2" s="1"/>
  <c r="O27" i="2"/>
  <c r="J24" i="2"/>
  <c r="K24" i="2"/>
  <c r="L24" i="2"/>
  <c r="M24" i="2"/>
  <c r="N24" i="2" s="1"/>
  <c r="O24" i="2"/>
  <c r="P27" i="2" l="1"/>
  <c r="P24" i="2"/>
  <c r="P22" i="2"/>
  <c r="J9" i="2"/>
  <c r="J10" i="2"/>
  <c r="J12" i="2"/>
  <c r="J13" i="2"/>
  <c r="J14" i="2"/>
  <c r="J17" i="2"/>
  <c r="J18" i="2"/>
  <c r="J19" i="2"/>
  <c r="J21" i="2"/>
  <c r="J25" i="2"/>
  <c r="J26" i="2"/>
  <c r="J28" i="2"/>
  <c r="J29" i="2"/>
  <c r="J30" i="2"/>
  <c r="J31" i="2"/>
  <c r="J32" i="2"/>
  <c r="J40" i="2"/>
  <c r="J41" i="2"/>
  <c r="J42" i="2"/>
  <c r="J43" i="2"/>
  <c r="J45" i="2"/>
  <c r="J46" i="2"/>
  <c r="J47" i="2"/>
  <c r="J48" i="2"/>
  <c r="J49" i="2"/>
  <c r="J50" i="2"/>
  <c r="J51" i="2"/>
  <c r="J52" i="2"/>
  <c r="J53" i="2"/>
  <c r="J54" i="2"/>
  <c r="J55" i="2"/>
  <c r="J56" i="2"/>
  <c r="J57" i="2"/>
  <c r="J58" i="2"/>
  <c r="J59" i="2"/>
  <c r="J60" i="2"/>
  <c r="J61" i="2"/>
  <c r="J62" i="2"/>
  <c r="J63" i="2"/>
  <c r="J64" i="2"/>
  <c r="J65" i="2"/>
  <c r="J66" i="2"/>
  <c r="J67" i="2"/>
  <c r="J68" i="2"/>
  <c r="J69" i="2"/>
  <c r="J70" i="2"/>
  <c r="J72" i="2"/>
  <c r="J74" i="2"/>
  <c r="J75" i="2"/>
  <c r="J76" i="2"/>
  <c r="J79" i="2"/>
  <c r="J83" i="2"/>
  <c r="J84" i="2"/>
  <c r="J85" i="2"/>
  <c r="J86" i="2"/>
  <c r="J87" i="2"/>
  <c r="J88" i="2"/>
  <c r="J89" i="2"/>
  <c r="J90" i="2"/>
  <c r="J91" i="2"/>
  <c r="J93" i="2"/>
  <c r="J94" i="2"/>
  <c r="J96" i="2"/>
  <c r="J97" i="2"/>
  <c r="J98" i="2"/>
  <c r="J99" i="2"/>
  <c r="J100" i="2"/>
  <c r="J101" i="2"/>
  <c r="J102" i="2"/>
  <c r="J105" i="2"/>
  <c r="J107" i="2"/>
  <c r="J109" i="2"/>
  <c r="J110" i="2"/>
  <c r="J111" i="2"/>
  <c r="E97" i="2" l="1"/>
  <c r="K32" i="2" l="1"/>
  <c r="P32" i="2" s="1"/>
  <c r="L32" i="2"/>
  <c r="M32" i="2"/>
  <c r="N32" i="2" s="1"/>
  <c r="O32" i="2"/>
  <c r="K97" i="2" l="1"/>
  <c r="L97" i="2"/>
  <c r="M97" i="2"/>
  <c r="N97" i="2" s="1"/>
  <c r="O97" i="2"/>
  <c r="P97" i="2" l="1"/>
  <c r="K96" i="2"/>
  <c r="L96" i="2"/>
  <c r="M96" i="2"/>
  <c r="N96" i="2" s="1"/>
  <c r="O96" i="2"/>
  <c r="E96" i="2"/>
  <c r="P96" i="2" l="1"/>
  <c r="K86" i="2" l="1"/>
  <c r="L86" i="2"/>
  <c r="M86" i="2"/>
  <c r="N86" i="2" s="1"/>
  <c r="O86" i="2"/>
  <c r="P86" i="2" l="1"/>
  <c r="E86" i="2"/>
  <c r="K87" i="2" l="1"/>
  <c r="L87" i="2"/>
  <c r="M87" i="2"/>
  <c r="N87" i="2" s="1"/>
  <c r="O87" i="2"/>
  <c r="E87" i="2"/>
  <c r="P87" i="2" l="1"/>
  <c r="E42" i="2"/>
  <c r="E95" i="2" l="1"/>
  <c r="O10" i="2" l="1"/>
  <c r="M10" i="2"/>
  <c r="N10" i="2" s="1"/>
  <c r="L10" i="2"/>
  <c r="K10" i="2"/>
  <c r="E10" i="2"/>
  <c r="P10" i="2" l="1"/>
  <c r="O19" i="2" l="1"/>
  <c r="K42" i="2" l="1"/>
  <c r="L42" i="2"/>
  <c r="M42" i="2"/>
  <c r="N42" i="2" s="1"/>
  <c r="O42" i="2"/>
  <c r="P42" i="2" l="1"/>
  <c r="E13" i="2"/>
  <c r="K13" i="2"/>
  <c r="L13" i="2"/>
  <c r="M13" i="2"/>
  <c r="N13" i="2" s="1"/>
  <c r="O13" i="2"/>
  <c r="P13" i="2" l="1"/>
  <c r="E48" i="2" l="1"/>
  <c r="K48" i="2"/>
  <c r="L48" i="2"/>
  <c r="M48" i="2"/>
  <c r="N48" i="2" s="1"/>
  <c r="O48" i="2"/>
  <c r="P48" i="2" l="1"/>
  <c r="K49" i="2" l="1"/>
  <c r="L49" i="2"/>
  <c r="M49" i="2"/>
  <c r="N49" i="2" s="1"/>
  <c r="O49" i="2"/>
  <c r="P49" i="2" l="1"/>
  <c r="K60" i="2" l="1"/>
  <c r="L60" i="2"/>
  <c r="M60" i="2"/>
  <c r="N60" i="2" s="1"/>
  <c r="O60" i="2"/>
  <c r="E60" i="2"/>
  <c r="K107" i="2"/>
  <c r="L107" i="2"/>
  <c r="M107" i="2"/>
  <c r="N107" i="2" s="1"/>
  <c r="O107" i="2"/>
  <c r="E107" i="2"/>
  <c r="P60" i="2" l="1"/>
  <c r="P107" i="2"/>
  <c r="E99" i="2" l="1"/>
  <c r="K99" i="2"/>
  <c r="L99" i="2"/>
  <c r="M99" i="2"/>
  <c r="N99" i="2" s="1"/>
  <c r="O99" i="2"/>
  <c r="P99" i="2" l="1"/>
  <c r="C1" i="2" l="1"/>
  <c r="K7" i="2" l="1"/>
  <c r="K111" i="2" l="1"/>
  <c r="L111" i="2"/>
  <c r="M111" i="2"/>
  <c r="N111" i="2" s="1"/>
  <c r="O111" i="2"/>
  <c r="P111" i="2" l="1"/>
  <c r="M65" i="2" l="1"/>
  <c r="E111" i="2" l="1"/>
  <c r="K67" i="2" l="1"/>
  <c r="L67" i="2"/>
  <c r="M67" i="2"/>
  <c r="N67" i="2" s="1"/>
  <c r="E67" i="2"/>
  <c r="P67" i="2" l="1"/>
  <c r="K26" i="2" l="1"/>
  <c r="L26" i="2"/>
  <c r="M26" i="2"/>
  <c r="N26" i="2" s="1"/>
  <c r="O26" i="2"/>
  <c r="P26" i="2" l="1"/>
  <c r="K110" i="2" l="1"/>
  <c r="L110" i="2"/>
  <c r="M110" i="2"/>
  <c r="N110" i="2" s="1"/>
  <c r="O110" i="2"/>
  <c r="E110" i="2"/>
  <c r="P110" i="2" l="1"/>
  <c r="K102" i="2" l="1"/>
  <c r="L102" i="2"/>
  <c r="M102" i="2"/>
  <c r="N102" i="2" s="1"/>
  <c r="O102" i="2"/>
  <c r="E102" i="2"/>
  <c r="P102" i="2" l="1"/>
  <c r="E21" i="2" l="1"/>
  <c r="K70" i="2" l="1"/>
  <c r="L70" i="2"/>
  <c r="M70" i="2"/>
  <c r="N70" i="2" s="1"/>
  <c r="O70" i="2"/>
  <c r="E70" i="2"/>
  <c r="P70" i="2" l="1"/>
  <c r="K74" i="2" l="1"/>
  <c r="L74" i="2"/>
  <c r="M74" i="2"/>
  <c r="N74" i="2" s="1"/>
  <c r="O74" i="2"/>
  <c r="E74" i="2"/>
  <c r="P74" i="2" l="1"/>
  <c r="K43" i="2" l="1"/>
  <c r="L43" i="2"/>
  <c r="M43" i="2"/>
  <c r="N43" i="2" s="1"/>
  <c r="O43" i="2"/>
  <c r="P43" i="2" l="1"/>
  <c r="K68" i="2" l="1"/>
  <c r="L68" i="2"/>
  <c r="M68" i="2"/>
  <c r="N68" i="2" s="1"/>
  <c r="O68" i="2"/>
  <c r="E68" i="2"/>
  <c r="P68" i="2" l="1"/>
  <c r="K69" i="2" l="1"/>
  <c r="L69" i="2"/>
  <c r="M69" i="2"/>
  <c r="N69" i="2" s="1"/>
  <c r="O69" i="2"/>
  <c r="E69" i="2"/>
  <c r="P69" i="2" l="1"/>
  <c r="E89" i="2"/>
  <c r="K89" i="2"/>
  <c r="L89" i="2"/>
  <c r="M89" i="2"/>
  <c r="N89" i="2" s="1"/>
  <c r="O89" i="2"/>
  <c r="P89" i="2" l="1"/>
  <c r="K105" i="2" l="1"/>
  <c r="L105" i="2"/>
  <c r="M105" i="2"/>
  <c r="N105" i="2" s="1"/>
  <c r="O105" i="2"/>
  <c r="P105" i="2" l="1"/>
  <c r="K84" i="2" l="1"/>
  <c r="L84" i="2"/>
  <c r="M84" i="2"/>
  <c r="N84" i="2" s="1"/>
  <c r="O84" i="2"/>
  <c r="E84" i="2"/>
  <c r="P84" i="2" l="1"/>
  <c r="K54" i="2" l="1"/>
  <c r="L54" i="2"/>
  <c r="M54" i="2"/>
  <c r="N54" i="2" s="1"/>
  <c r="O54" i="2"/>
  <c r="K53" i="2"/>
  <c r="L53" i="2"/>
  <c r="M53" i="2"/>
  <c r="N53" i="2" s="1"/>
  <c r="O53" i="2"/>
  <c r="E54" i="2"/>
  <c r="E53" i="2"/>
  <c r="P53" i="2" l="1"/>
  <c r="P54" i="2"/>
  <c r="E40" i="2"/>
  <c r="K66" i="2" l="1"/>
  <c r="L66" i="2"/>
  <c r="M66" i="2"/>
  <c r="N66" i="2" s="1"/>
  <c r="O66" i="2"/>
  <c r="E66" i="2"/>
  <c r="P66" i="2" l="1"/>
  <c r="E45" i="2"/>
  <c r="K83" i="2" l="1"/>
  <c r="L83" i="2"/>
  <c r="M83" i="2"/>
  <c r="N83" i="2" s="1"/>
  <c r="O83" i="2"/>
  <c r="E83" i="2"/>
  <c r="K76" i="2"/>
  <c r="L76" i="2"/>
  <c r="M76" i="2"/>
  <c r="N76" i="2" s="1"/>
  <c r="O76" i="2"/>
  <c r="E76" i="2"/>
  <c r="P83" i="2" l="1"/>
  <c r="P76" i="2"/>
  <c r="K90" i="2"/>
  <c r="L90" i="2"/>
  <c r="M90" i="2"/>
  <c r="N90" i="2" s="1"/>
  <c r="O90" i="2"/>
  <c r="P90" i="2" l="1"/>
  <c r="E90" i="2"/>
  <c r="O8" i="2"/>
  <c r="K45" i="2" l="1"/>
  <c r="L45" i="2"/>
  <c r="M45" i="2"/>
  <c r="N45" i="2" s="1"/>
  <c r="O45" i="2"/>
  <c r="P45" i="2" l="1"/>
  <c r="E109" i="2" l="1"/>
  <c r="K109" i="2"/>
  <c r="L109" i="2"/>
  <c r="M109" i="2"/>
  <c r="N109" i="2" s="1"/>
  <c r="O109" i="2"/>
  <c r="K40" i="2"/>
  <c r="L40" i="2"/>
  <c r="M40" i="2"/>
  <c r="N40" i="2" s="1"/>
  <c r="O40" i="2"/>
  <c r="P109" i="2" l="1"/>
  <c r="P40" i="2"/>
  <c r="E79" i="2" l="1"/>
  <c r="E105" i="2"/>
  <c r="K59" i="2"/>
  <c r="L59" i="2"/>
  <c r="M59" i="2"/>
  <c r="N59" i="2" s="1"/>
  <c r="O59" i="2"/>
  <c r="E59" i="2"/>
  <c r="K101" i="2"/>
  <c r="L101" i="2"/>
  <c r="M101" i="2"/>
  <c r="N101" i="2" s="1"/>
  <c r="O101" i="2"/>
  <c r="E101" i="2"/>
  <c r="E41" i="2"/>
  <c r="P101" i="2" l="1"/>
  <c r="P59" i="2"/>
  <c r="K79" i="2" l="1"/>
  <c r="L79" i="2"/>
  <c r="M79" i="2"/>
  <c r="N79" i="2" s="1"/>
  <c r="O79" i="2"/>
  <c r="P79" i="2" l="1"/>
  <c r="K41" i="2"/>
  <c r="L41" i="2"/>
  <c r="M41" i="2"/>
  <c r="N41" i="2" s="1"/>
  <c r="O41" i="2"/>
  <c r="P41" i="2" l="1"/>
  <c r="E9" i="2"/>
  <c r="K65" i="2" l="1"/>
  <c r="L65" i="2"/>
  <c r="N65" i="2"/>
  <c r="O65" i="2"/>
  <c r="E65" i="2"/>
  <c r="P65" i="2" l="1"/>
  <c r="E75" i="2"/>
  <c r="E88" i="2"/>
  <c r="E85" i="2"/>
  <c r="E91" i="2"/>
  <c r="E93" i="2"/>
  <c r="E94" i="2"/>
  <c r="E98" i="2"/>
  <c r="E100" i="2"/>
  <c r="K72" i="2"/>
  <c r="L72" i="2"/>
  <c r="M72" i="2"/>
  <c r="N72" i="2" s="1"/>
  <c r="O72" i="2"/>
  <c r="E72" i="2"/>
  <c r="K64" i="2"/>
  <c r="L64" i="2"/>
  <c r="M64" i="2"/>
  <c r="N64" i="2" s="1"/>
  <c r="O64" i="2"/>
  <c r="E64" i="2"/>
  <c r="P72" i="2" l="1"/>
  <c r="P64" i="2"/>
  <c r="E18" i="2" l="1"/>
  <c r="K9" i="2" l="1"/>
  <c r="L9" i="2"/>
  <c r="M9" i="2"/>
  <c r="N9" i="2" s="1"/>
  <c r="O9" i="2"/>
  <c r="P9" i="2" l="1"/>
  <c r="K98" i="2" l="1"/>
  <c r="L98" i="2"/>
  <c r="M98" i="2"/>
  <c r="N98" i="2" s="1"/>
  <c r="O98" i="2"/>
  <c r="P98" i="2" l="1"/>
  <c r="K18" i="2" l="1"/>
  <c r="L18" i="2"/>
  <c r="M18" i="2"/>
  <c r="N18" i="2" s="1"/>
  <c r="O18" i="2"/>
  <c r="P18" i="2" l="1"/>
  <c r="E39" i="2" l="1"/>
  <c r="M93" i="2" l="1"/>
  <c r="M94" i="2"/>
  <c r="M100" i="2"/>
  <c r="K88" i="2" l="1"/>
  <c r="L88" i="2"/>
  <c r="M88" i="2"/>
  <c r="N88" i="2" s="1"/>
  <c r="O88" i="2"/>
  <c r="P88" i="2" l="1"/>
  <c r="K91" i="2" l="1"/>
  <c r="L91" i="2"/>
  <c r="M91" i="2"/>
  <c r="N91" i="2" s="1"/>
  <c r="O91" i="2"/>
  <c r="P91" i="2" l="1"/>
  <c r="K85" i="2" l="1"/>
  <c r="L85" i="2"/>
  <c r="M85" i="2"/>
  <c r="N85" i="2" s="1"/>
  <c r="O85" i="2"/>
  <c r="P85" i="2" l="1"/>
  <c r="E30" i="2" l="1"/>
  <c r="K30" i="2"/>
  <c r="L30" i="2"/>
  <c r="M30" i="2"/>
  <c r="N30" i="2" s="1"/>
  <c r="O30" i="2"/>
  <c r="P30" i="2" l="1"/>
  <c r="E12" i="2"/>
  <c r="K12" i="2"/>
  <c r="L12" i="2"/>
  <c r="M12" i="2"/>
  <c r="N12" i="2" s="1"/>
  <c r="O12" i="2"/>
  <c r="P12" i="2" l="1"/>
  <c r="E37" i="2"/>
  <c r="E5" i="2" l="1"/>
  <c r="E46" i="2"/>
  <c r="E47" i="2"/>
  <c r="E50" i="2"/>
  <c r="E51" i="2"/>
  <c r="E52" i="2"/>
  <c r="E56" i="2"/>
  <c r="E57" i="2"/>
  <c r="E58" i="2"/>
  <c r="E55" i="2"/>
  <c r="E8" i="2"/>
  <c r="E7" i="2"/>
  <c r="E6" i="2"/>
  <c r="E17" i="2"/>
  <c r="E19" i="2"/>
  <c r="E61" i="2"/>
  <c r="E62" i="2"/>
  <c r="E63" i="2"/>
  <c r="E14" i="2"/>
  <c r="E25" i="2"/>
  <c r="E28" i="2"/>
  <c r="E29" i="2"/>
  <c r="E31" i="2"/>
  <c r="E38" i="2"/>
  <c r="E26" i="2"/>
  <c r="O58" i="2" l="1"/>
  <c r="M58" i="2"/>
  <c r="N58" i="2" s="1"/>
  <c r="L58" i="2"/>
  <c r="K58" i="2"/>
  <c r="P58" i="2" l="1"/>
  <c r="K55" i="2" l="1"/>
  <c r="L55" i="2"/>
  <c r="M55" i="2"/>
  <c r="N55" i="2" s="1"/>
  <c r="O55" i="2"/>
  <c r="P55" i="2" l="1"/>
  <c r="K57" i="2" l="1"/>
  <c r="L57" i="2"/>
  <c r="M57" i="2"/>
  <c r="N57" i="2" s="1"/>
  <c r="O57" i="2"/>
  <c r="P57" i="2" l="1"/>
  <c r="O31" i="2" l="1"/>
  <c r="M31" i="2"/>
  <c r="N31" i="2" s="1"/>
  <c r="L31" i="2"/>
  <c r="K31" i="2"/>
  <c r="O100" i="2"/>
  <c r="N100" i="2"/>
  <c r="L100" i="2"/>
  <c r="K100" i="2"/>
  <c r="O14" i="2"/>
  <c r="M14" i="2"/>
  <c r="N14" i="2" s="1"/>
  <c r="L14" i="2"/>
  <c r="K14" i="2"/>
  <c r="O75" i="2"/>
  <c r="M75" i="2"/>
  <c r="N75" i="2" s="1"/>
  <c r="L75" i="2"/>
  <c r="K75" i="2"/>
  <c r="O56" i="2"/>
  <c r="M56" i="2"/>
  <c r="N56" i="2" s="1"/>
  <c r="L56" i="2"/>
  <c r="K56" i="2"/>
  <c r="O29" i="2"/>
  <c r="M29" i="2"/>
  <c r="N29" i="2" s="1"/>
  <c r="L29" i="2"/>
  <c r="K29" i="2"/>
  <c r="O63" i="2"/>
  <c r="M63" i="2"/>
  <c r="N63" i="2" s="1"/>
  <c r="L63" i="2"/>
  <c r="K63" i="2"/>
  <c r="O28" i="2"/>
  <c r="M28" i="2"/>
  <c r="N28" i="2" s="1"/>
  <c r="L28" i="2"/>
  <c r="K28" i="2"/>
  <c r="O6" i="2"/>
  <c r="M6" i="2"/>
  <c r="N6" i="2" s="1"/>
  <c r="L6" i="2"/>
  <c r="K6" i="2"/>
  <c r="J6" i="2"/>
  <c r="O7" i="2"/>
  <c r="M7" i="2"/>
  <c r="N7" i="2" s="1"/>
  <c r="L7" i="2"/>
  <c r="J7" i="2"/>
  <c r="O94" i="2"/>
  <c r="N94" i="2"/>
  <c r="L94" i="2"/>
  <c r="K94" i="2"/>
  <c r="O93" i="2"/>
  <c r="N93" i="2"/>
  <c r="L93" i="2"/>
  <c r="K93" i="2"/>
  <c r="O62" i="2"/>
  <c r="M62" i="2"/>
  <c r="N62" i="2" s="1"/>
  <c r="L62" i="2"/>
  <c r="K62" i="2"/>
  <c r="O61" i="2"/>
  <c r="M61" i="2"/>
  <c r="N61" i="2" s="1"/>
  <c r="L61" i="2"/>
  <c r="K61" i="2"/>
  <c r="O52" i="2"/>
  <c r="M52" i="2"/>
  <c r="N52" i="2" s="1"/>
  <c r="L52" i="2"/>
  <c r="K52" i="2"/>
  <c r="O51" i="2"/>
  <c r="M51" i="2"/>
  <c r="N51" i="2" s="1"/>
  <c r="L51" i="2"/>
  <c r="K51" i="2"/>
  <c r="O50" i="2"/>
  <c r="M50" i="2"/>
  <c r="N50" i="2" s="1"/>
  <c r="L50" i="2"/>
  <c r="K50" i="2"/>
  <c r="O47" i="2"/>
  <c r="M47" i="2"/>
  <c r="N47" i="2" s="1"/>
  <c r="L47" i="2"/>
  <c r="K47" i="2"/>
  <c r="O46" i="2"/>
  <c r="M46" i="2"/>
  <c r="N46" i="2" s="1"/>
  <c r="L46" i="2"/>
  <c r="K46" i="2"/>
  <c r="O21" i="2"/>
  <c r="M21" i="2"/>
  <c r="N21" i="2" s="1"/>
  <c r="L21" i="2"/>
  <c r="K21" i="2"/>
  <c r="O25" i="2"/>
  <c r="M25" i="2"/>
  <c r="N25" i="2" s="1"/>
  <c r="L25" i="2"/>
  <c r="K25" i="2"/>
  <c r="M19" i="2"/>
  <c r="N19" i="2" s="1"/>
  <c r="L19" i="2"/>
  <c r="K19" i="2"/>
  <c r="O17" i="2"/>
  <c r="M17" i="2"/>
  <c r="N17" i="2" s="1"/>
  <c r="L17" i="2"/>
  <c r="K17" i="2"/>
  <c r="O5" i="2"/>
  <c r="M5" i="2"/>
  <c r="N5" i="2" s="1"/>
  <c r="L5" i="2"/>
  <c r="K5" i="2"/>
  <c r="J5" i="2"/>
  <c r="O4" i="2"/>
  <c r="M4" i="2"/>
  <c r="N4" i="2" s="1"/>
  <c r="L4" i="2"/>
  <c r="K4" i="2"/>
  <c r="J4" i="2"/>
  <c r="E4" i="2"/>
  <c r="M8" i="2"/>
  <c r="N8" i="2" s="1"/>
  <c r="L8" i="2"/>
  <c r="K8" i="2"/>
  <c r="J8" i="2"/>
  <c r="O17" i="1"/>
  <c r="M17" i="1"/>
  <c r="D17" i="1"/>
  <c r="O16" i="1"/>
  <c r="M16" i="1"/>
  <c r="D16" i="1"/>
  <c r="O15" i="1"/>
  <c r="M15" i="1"/>
  <c r="D15" i="1"/>
  <c r="O14" i="1"/>
  <c r="M14" i="1"/>
  <c r="D14" i="1"/>
  <c r="O13" i="1"/>
  <c r="M13" i="1"/>
  <c r="D13" i="1"/>
  <c r="O12" i="1"/>
  <c r="M12" i="1"/>
  <c r="D12" i="1"/>
  <c r="O11" i="1"/>
  <c r="M11" i="1"/>
  <c r="D11" i="1"/>
  <c r="O10" i="1"/>
  <c r="M10" i="1"/>
  <c r="D10" i="1"/>
  <c r="O9" i="1"/>
  <c r="M9" i="1"/>
  <c r="D9" i="1"/>
  <c r="O8" i="1"/>
  <c r="M8" i="1"/>
  <c r="D8" i="1"/>
  <c r="O7" i="1"/>
  <c r="M7" i="1"/>
  <c r="D7" i="1"/>
  <c r="O6" i="1"/>
  <c r="M6" i="1"/>
  <c r="D6" i="1"/>
  <c r="O5" i="1"/>
  <c r="M5" i="1"/>
  <c r="D5" i="1"/>
  <c r="O4" i="1"/>
  <c r="M4" i="1"/>
  <c r="D4" i="1"/>
  <c r="P56" i="2" l="1"/>
  <c r="P46" i="2"/>
  <c r="P8" i="2"/>
  <c r="P75" i="2"/>
  <c r="P47" i="2"/>
  <c r="P17" i="2"/>
  <c r="P61" i="2"/>
  <c r="P6" i="2"/>
  <c r="P29" i="2"/>
  <c r="P7" i="2"/>
  <c r="P63" i="2"/>
  <c r="P100" i="2"/>
  <c r="P94" i="2"/>
  <c r="P28" i="2"/>
  <c r="P52" i="2"/>
  <c r="P25" i="2"/>
  <c r="P50" i="2"/>
  <c r="P31" i="2"/>
  <c r="P19" i="2"/>
  <c r="P62" i="2"/>
  <c r="P5" i="2"/>
  <c r="P21" i="2"/>
  <c r="P4" i="2"/>
  <c r="P51" i="2"/>
  <c r="P93" i="2"/>
  <c r="P14" i="2"/>
</calcChain>
</file>

<file path=xl/sharedStrings.xml><?xml version="1.0" encoding="utf-8"?>
<sst xmlns="http://schemas.openxmlformats.org/spreadsheetml/2006/main" count="397" uniqueCount="230">
  <si>
    <t>日期</t>
  </si>
  <si>
    <t>布号</t>
  </si>
  <si>
    <t>损耗</t>
  </si>
  <si>
    <t>单机产量</t>
  </si>
  <si>
    <t>累计产出</t>
  </si>
  <si>
    <t>欠数</t>
  </si>
  <si>
    <t>织机
维持
天数</t>
  </si>
  <si>
    <t>当前库存</t>
  </si>
  <si>
    <t>欠开织单数</t>
  </si>
  <si>
    <t>ZN02320A</t>
  </si>
  <si>
    <t>ZN02340A</t>
  </si>
  <si>
    <t>ZN02331A</t>
  </si>
  <si>
    <t>ZN02342A</t>
  </si>
  <si>
    <t>ZJ14224A</t>
  </si>
  <si>
    <t>ZJ14148A</t>
  </si>
  <si>
    <t>ZJ14239A</t>
  </si>
  <si>
    <t>ZJ14150A</t>
  </si>
  <si>
    <t>OD03186A</t>
  </si>
  <si>
    <t>DR05890A</t>
  </si>
  <si>
    <t>DJ06827A</t>
  </si>
  <si>
    <t>胚布总需求</t>
  </si>
  <si>
    <t>PTL胚布</t>
  </si>
  <si>
    <t>预计开机</t>
  </si>
  <si>
    <t>实际开机</t>
  </si>
  <si>
    <t>备胚单</t>
  </si>
  <si>
    <t>织工单</t>
  </si>
  <si>
    <t>Hao hụt</t>
  </si>
  <si>
    <t>Mộc PTL</t>
  </si>
  <si>
    <t>Đơn dự trữ mộc</t>
  </si>
  <si>
    <t>Kế hoạch Mộc</t>
  </si>
  <si>
    <t>Sản lượng một máy</t>
  </si>
  <si>
    <t>Số lượng máy dự tính</t>
  </si>
  <si>
    <t>Số lượng máy thực tế</t>
  </si>
  <si>
    <t>Đơn Dệt</t>
  </si>
  <si>
    <t>Số lượng đã SX</t>
  </si>
  <si>
    <t>Còn thiếu</t>
  </si>
  <si>
    <t>Tồn kho hiện tại</t>
  </si>
  <si>
    <t>Số ngày Dệt</t>
  </si>
  <si>
    <t>Số lượng Dệt chưa phân</t>
  </si>
  <si>
    <t>Master Plan</t>
  </si>
  <si>
    <t>Mã vải</t>
  </si>
  <si>
    <t>-</t>
  </si>
  <si>
    <t>OJ08349A</t>
  </si>
  <si>
    <t>OJ08415A</t>
  </si>
  <si>
    <t>OJ08247A</t>
  </si>
  <si>
    <t>OJ08415A03</t>
  </si>
  <si>
    <t>OJ08247A03</t>
  </si>
  <si>
    <t>chú ý các đơn 08415A03 8247A03  khi kiểm tra trên hệ thống sẽ có các A01 A02 nhưng bảng mình đang làm đã LỌC chỉ có A03 nên nếu anh chị hỏi sao ko giống số liệu phải LỌC RA</t>
  </si>
  <si>
    <t>ZJ13461A</t>
  </si>
  <si>
    <t>ZJ13555A</t>
  </si>
  <si>
    <t>ZJ13555C</t>
  </si>
  <si>
    <t>ZJS0030A</t>
  </si>
  <si>
    <t>OJ06827A</t>
  </si>
  <si>
    <t>ZJ10986A</t>
  </si>
  <si>
    <t>OR05890A</t>
  </si>
  <si>
    <t>OI01853A</t>
  </si>
  <si>
    <t>ZJ13554A</t>
  </si>
  <si>
    <t>ZJ13554C</t>
  </si>
  <si>
    <t>ZA03448A</t>
  </si>
  <si>
    <t>BZJ14500A*</t>
  </si>
  <si>
    <t>BZJ14501A*</t>
  </si>
  <si>
    <t>BZJ09869A*</t>
  </si>
  <si>
    <t>B*ZJ14500A*</t>
  </si>
  <si>
    <t>AZJ14500A*</t>
  </si>
  <si>
    <t>ZJ14500A</t>
  </si>
  <si>
    <t>ZJ14501A</t>
  </si>
  <si>
    <t>ZHP0026A</t>
  </si>
  <si>
    <t>ZJ09869A</t>
  </si>
  <si>
    <t>ZHP0041A</t>
  </si>
  <si>
    <t>OR04498A</t>
  </si>
  <si>
    <t>B*ZJ14501A*</t>
  </si>
  <si>
    <t>AZJ14501A*</t>
  </si>
  <si>
    <t>BZHP0026A*</t>
  </si>
  <si>
    <t>B*ZHP0026A*</t>
  </si>
  <si>
    <t>AZHP0026A*</t>
  </si>
  <si>
    <t>B*ZJ09869A*</t>
  </si>
  <si>
    <t>AZJ09869A*</t>
  </si>
  <si>
    <t>BZHP0041A*</t>
  </si>
  <si>
    <r>
      <t>B*</t>
    </r>
    <r>
      <rPr>
        <b/>
        <sz val="14"/>
        <color theme="1"/>
        <rFont val="Arial Nova"/>
        <charset val="163"/>
      </rPr>
      <t>ZHP0041A*</t>
    </r>
  </si>
  <si>
    <t>AZHP0041A*</t>
  </si>
  <si>
    <t>BOR04498A*</t>
  </si>
  <si>
    <t>B*OR04498A*</t>
  </si>
  <si>
    <t>AOR04498A*</t>
  </si>
  <si>
    <t>BZD01244A*</t>
  </si>
  <si>
    <t>B*ZD01244A*</t>
  </si>
  <si>
    <t>AZD01244A*</t>
  </si>
  <si>
    <t>OD03186C</t>
  </si>
  <si>
    <t>ZRT0287A02</t>
  </si>
  <si>
    <t>ZA03448C</t>
  </si>
  <si>
    <t>BZA03448C*</t>
  </si>
  <si>
    <t>B*ZA03448C*</t>
  </si>
  <si>
    <t>AZA03448C*</t>
  </si>
  <si>
    <t>item</t>
  </si>
  <si>
    <t>Knitting m/c</t>
  </si>
  <si>
    <t>BZH00052A*</t>
  </si>
  <si>
    <t>BOR06142A*</t>
  </si>
  <si>
    <t>BZJ14620A*</t>
  </si>
  <si>
    <t>BZJ14284A*</t>
  </si>
  <si>
    <t>B* ZH00052A*</t>
  </si>
  <si>
    <t>B*OR06142A*</t>
  </si>
  <si>
    <t>B*ZJ14620A*</t>
  </si>
  <si>
    <t>B*ZJ14284A*</t>
  </si>
  <si>
    <t>AZH00052A*</t>
  </si>
  <si>
    <t>AZJ00709A*</t>
  </si>
  <si>
    <t>B*ZJ00709A*</t>
  </si>
  <si>
    <t>BZJ00709A*</t>
  </si>
  <si>
    <t>ZJ00709A</t>
  </si>
  <si>
    <t>ZJ13646C</t>
  </si>
  <si>
    <t>BZJ14299A*</t>
  </si>
  <si>
    <t>B*ZJ14299A*</t>
  </si>
  <si>
    <t>AZJ14299A*</t>
  </si>
  <si>
    <t>B*ZH00052A*</t>
  </si>
  <si>
    <t>ZJ14299A</t>
  </si>
  <si>
    <t>ZH00052A</t>
  </si>
  <si>
    <t>OR06142A</t>
  </si>
  <si>
    <t>ZHP0051A</t>
  </si>
  <si>
    <t>32G34(3408)</t>
  </si>
  <si>
    <t>28G34(2976)</t>
  </si>
  <si>
    <t>24G34(2556)</t>
  </si>
  <si>
    <t>16G38(1920)</t>
  </si>
  <si>
    <t>25G38(2976)</t>
  </si>
  <si>
    <t>36G34(3840)</t>
  </si>
  <si>
    <t>24G34(2544)</t>
  </si>
  <si>
    <t>24G38(2880)</t>
  </si>
  <si>
    <t>28G30(2640)</t>
  </si>
  <si>
    <t>18G34(1920)</t>
  </si>
  <si>
    <t>针寸数</t>
  </si>
  <si>
    <t xml:space="preserve">Giường Kim </t>
  </si>
  <si>
    <t>BOD03186A01</t>
  </si>
  <si>
    <t>ZJ13566A</t>
  </si>
  <si>
    <t>ZJ13646A</t>
  </si>
  <si>
    <t>ZJ13566C</t>
  </si>
  <si>
    <t>ZH00050A</t>
  </si>
  <si>
    <t>ZHP0045A</t>
  </si>
  <si>
    <t>YH00052A</t>
  </si>
  <si>
    <t>买胚布</t>
  </si>
  <si>
    <t xml:space="preserve">Mua Mộc </t>
  </si>
  <si>
    <t>OJ00071A</t>
  </si>
  <si>
    <t>OJ00126A</t>
  </si>
  <si>
    <t>OJ07218A</t>
  </si>
  <si>
    <t>OJ00007A</t>
  </si>
  <si>
    <t>24G30(2256)</t>
  </si>
  <si>
    <t>ZJ14582A</t>
  </si>
  <si>
    <t>ZJ14764A</t>
  </si>
  <si>
    <t>ZJ09749A</t>
  </si>
  <si>
    <t>ZJ14709A</t>
  </si>
  <si>
    <t>ZJ14754A</t>
  </si>
  <si>
    <t>ZRP0014A</t>
  </si>
  <si>
    <t>ZJ14710A</t>
  </si>
  <si>
    <t>ZJ14053A</t>
  </si>
  <si>
    <t>OR06142C</t>
  </si>
  <si>
    <t>ZJ06593A</t>
  </si>
  <si>
    <t>ZI01444A</t>
  </si>
  <si>
    <t>36G38(4272)</t>
  </si>
  <si>
    <t>ZRP0030A</t>
  </si>
  <si>
    <t>OI01040A</t>
  </si>
  <si>
    <t>ZJ14666A</t>
  </si>
  <si>
    <t>OJ05178A</t>
  </si>
  <si>
    <t>ZJ00709C</t>
  </si>
  <si>
    <t>OJ04608A</t>
  </si>
  <si>
    <t>ZJ14754C</t>
  </si>
  <si>
    <t>ZJ13645A</t>
  </si>
  <si>
    <t>ZJ13645C</t>
  </si>
  <si>
    <t>OJ13084A</t>
  </si>
  <si>
    <t>ZJ13532A</t>
  </si>
  <si>
    <t>ZRP0026A</t>
  </si>
  <si>
    <t>ZJ14908A</t>
  </si>
  <si>
    <t>ZJ13992A</t>
  </si>
  <si>
    <t>OI01853A16</t>
  </si>
  <si>
    <t>ZJ14795A</t>
  </si>
  <si>
    <t>OIM0014A</t>
  </si>
  <si>
    <t>15G38(1800)</t>
  </si>
  <si>
    <t>OJ08247A07</t>
  </si>
  <si>
    <t>20G38(2400)</t>
  </si>
  <si>
    <t>OJ08248A10</t>
  </si>
  <si>
    <t>OJ08349A08</t>
  </si>
  <si>
    <t>OD03186A15</t>
  </si>
  <si>
    <t>OR05890A19</t>
  </si>
  <si>
    <t>20G34(2136)</t>
  </si>
  <si>
    <t>ZI01570A</t>
  </si>
  <si>
    <t>ZJ12070A</t>
  </si>
  <si>
    <t>ZJ13182A</t>
  </si>
  <si>
    <t>ZR03463A</t>
  </si>
  <si>
    <t>ZJ01160A</t>
  </si>
  <si>
    <t>MaterialNo</t>
  </si>
  <si>
    <t>Greige Quantity</t>
  </si>
  <si>
    <t>Material</t>
  </si>
  <si>
    <t>Greige qua</t>
  </si>
  <si>
    <t>Accumulated production quantity subtotal</t>
  </si>
  <si>
    <t>oustanding quantity</t>
  </si>
  <si>
    <t>ZRP0035A</t>
  </si>
  <si>
    <t>ZJ14864A</t>
  </si>
  <si>
    <t>34G34(3408)</t>
  </si>
  <si>
    <t>OJ00015A</t>
  </si>
  <si>
    <t>OJ07382A</t>
  </si>
  <si>
    <t>ZA03494A</t>
  </si>
  <si>
    <t>ZA03494C</t>
  </si>
  <si>
    <t>ZH00063A</t>
  </si>
  <si>
    <t>44G34(4704)</t>
  </si>
  <si>
    <t xml:space="preserve">  </t>
  </si>
  <si>
    <t xml:space="preserve">   </t>
  </si>
  <si>
    <t>OJ09107A</t>
  </si>
  <si>
    <t>29G30(2736)</t>
  </si>
  <si>
    <t>OR06195A01</t>
  </si>
  <si>
    <t>OD03458A01</t>
  </si>
  <si>
    <t>36G38(4296)</t>
  </si>
  <si>
    <t>ZN01527A</t>
  </si>
  <si>
    <t xml:space="preserve"> </t>
  </si>
  <si>
    <t>ZJM0411A</t>
  </si>
  <si>
    <t>ZJ15057A</t>
  </si>
  <si>
    <t>YH00064A</t>
  </si>
  <si>
    <t>ZI01667A</t>
  </si>
  <si>
    <t>ZJ08743A</t>
  </si>
  <si>
    <t>ZH00064A</t>
  </si>
  <si>
    <t>ZR03466A</t>
  </si>
  <si>
    <t>22G38(2256)</t>
  </si>
  <si>
    <t>OI02930A</t>
  </si>
  <si>
    <t>ZJ13096A</t>
  </si>
  <si>
    <t>ZH00065A</t>
  </si>
  <si>
    <t>ZA03448E</t>
  </si>
  <si>
    <t>YH00065A</t>
  </si>
  <si>
    <t>ZJ15037A</t>
  </si>
  <si>
    <t>ZJ14658A</t>
  </si>
  <si>
    <t>ZJ05978A</t>
  </si>
  <si>
    <t>OR06217A</t>
  </si>
  <si>
    <t>18G38(1920)</t>
  </si>
  <si>
    <t>ZJ15277A</t>
  </si>
  <si>
    <t>ZJ10303A</t>
  </si>
  <si>
    <t>ZI02045A</t>
  </si>
  <si>
    <t>Unrestricted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</si>
</sst>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 #,##0.00_ ;_ * \-#,##0.00_ ;_ * &quot;-&quot;??_ ;_ @_ "/>
    <numFmt numFmtId="164" formatCode="_-* #,##0_-;\-* #,##0_-;_-* &quot;-&quot;??_-;_-@_-"/>
    <numFmt numFmtId="165" formatCode="_ * #,##0_ ;_ * \-#,##0_ ;_ * &quot;-&quot;??_ ;_ @_ "/>
    <numFmt numFmtId="166" formatCode="_(* #,##0_);_(* \(#,##0\);_(* &quot;-&quot;??_);_(@_)"/>
    <numFmt numFmtId="167" formatCode="#,##0.000"/>
    <numFmt numFmtId="168" formatCode="#,##0_ ;\-#,##0\ "/>
    <numFmt numFmtId="169" formatCode="_-* #,##0.00_-;\-* #,##0.00_-;_-* &quot;-&quot;??_-;_-@_-"/>
  </numFmts>
  <fonts count="14">
    <font>
      <sz val="11"/>
      <color theme="1"/>
      <name val="等线"/>
      <family val="2"/>
      <scheme val="minor"/>
    </font>
    <font>
      <sz val="14"/>
      <color theme="1"/>
      <name val="等线"/>
      <family val="2"/>
      <scheme val="minor"/>
    </font>
    <font>
      <sz val="11"/>
      <color theme="1"/>
      <name val="等线"/>
      <family val="2"/>
      <scheme val="minor"/>
    </font>
    <font>
      <sz val="14"/>
      <color rgb="FFFF0000"/>
      <name val="Arial Nova"/>
      <charset val="163"/>
    </font>
    <font>
      <sz val="14"/>
      <color theme="1"/>
      <name val="Arial Nova"/>
      <charset val="163"/>
    </font>
    <font>
      <sz val="10"/>
      <name val="Arial"/>
      <family val="2"/>
    </font>
    <font>
      <b/>
      <sz val="14"/>
      <color theme="1"/>
      <name val="Arial Nova"/>
      <charset val="163"/>
    </font>
    <font>
      <b/>
      <sz val="14"/>
      <color theme="1"/>
      <name val="等线"/>
      <family val="2"/>
      <scheme val="minor"/>
    </font>
    <font>
      <sz val="14"/>
      <name val="Arial Nova"/>
      <charset val="163"/>
    </font>
    <font>
      <b/>
      <sz val="22"/>
      <color rgb="FFFF0000"/>
      <name val="等线"/>
      <family val="2"/>
      <scheme val="minor"/>
    </font>
    <font>
      <sz val="11"/>
      <color theme="1"/>
      <name val="Meiryo UI"/>
      <family val="2"/>
    </font>
    <font>
      <b/>
      <sz val="12"/>
      <color theme="1"/>
      <name val="Times New Roman"/>
      <family val="1"/>
    </font>
    <font>
      <b/>
      <sz val="16"/>
      <color theme="1"/>
      <name val="等线"/>
      <family val="2"/>
      <scheme val="minor"/>
    </font>
    <font>
      <sz val="16"/>
      <color rgb="FFFF0000"/>
      <name val="Calibri"/>
      <family val="2"/>
    </font>
  </fonts>
  <fills count="6">
    <fill>
      <patternFill patternType="none"/>
    </fill>
    <fill>
      <patternFill patternType="gray125"/>
    </fill>
    <fill>
      <patternFill patternType="solid">
        <fgColor rgb="FFFFFF00"/>
        <bgColor indexed="64"/>
      </patternFill>
    </fill>
    <fill>
      <patternFill patternType="solid">
        <fgColor indexed="22"/>
        <bgColor indexed="64"/>
      </patternFill>
    </fill>
    <fill>
      <patternFill patternType="solid">
        <fgColor rgb="FF92D050"/>
        <bgColor indexed="64"/>
      </patternFill>
    </fill>
    <fill>
      <patternFill patternType="solid">
        <fgColor indexed="1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43" fontId="2" fillId="0" borderId="0" applyFont="0" applyFill="0" applyBorder="0" applyAlignment="0" applyProtection="0"/>
    <xf numFmtId="0" fontId="5" fillId="0" borderId="0"/>
    <xf numFmtId="169" fontId="10" fillId="0" borderId="0" applyFont="0" applyFill="0" applyBorder="0" applyAlignment="0" applyProtection="0"/>
  </cellStyleXfs>
  <cellXfs count="58">
    <xf numFmtId="0" fontId="0" fillId="0" borderId="0" xfId="0"/>
    <xf numFmtId="0" fontId="1" fillId="0" borderId="0" xfId="0" applyFont="1"/>
    <xf numFmtId="0" fontId="1" fillId="0" borderId="1" xfId="0" applyNumberFormat="1" applyFont="1" applyBorder="1"/>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1" fillId="0" borderId="0" xfId="0" applyFont="1" applyAlignment="1">
      <alignment horizontal="center" vertical="center" wrapText="1"/>
    </xf>
    <xf numFmtId="165" fontId="1" fillId="0" borderId="1" xfId="1" applyNumberFormat="1" applyFont="1" applyBorder="1" applyAlignment="1">
      <alignment horizontal="center" vertical="center"/>
    </xf>
    <xf numFmtId="166" fontId="1" fillId="0" borderId="1" xfId="0" applyNumberFormat="1" applyFont="1" applyBorder="1" applyAlignment="1">
      <alignment horizontal="center" vertical="center"/>
    </xf>
    <xf numFmtId="165" fontId="1" fillId="0" borderId="1" xfId="0" applyNumberFormat="1" applyFont="1" applyBorder="1" applyAlignment="1">
      <alignment horizontal="center" vertical="center"/>
    </xf>
    <xf numFmtId="3" fontId="1" fillId="0" borderId="1" xfId="0" applyNumberFormat="1" applyFont="1" applyBorder="1" applyAlignment="1">
      <alignment horizontal="center" vertical="center"/>
    </xf>
    <xf numFmtId="1" fontId="1" fillId="0" borderId="1" xfId="0" applyNumberFormat="1" applyFont="1" applyBorder="1" applyAlignment="1">
      <alignment horizontal="center" vertical="center"/>
    </xf>
    <xf numFmtId="165" fontId="1" fillId="0" borderId="0" xfId="0" applyNumberFormat="1" applyFont="1"/>
    <xf numFmtId="0" fontId="1" fillId="0" borderId="1" xfId="0" applyFont="1" applyFill="1" applyBorder="1" applyAlignment="1">
      <alignment horizontal="center" vertical="center"/>
    </xf>
    <xf numFmtId="0" fontId="1" fillId="2" borderId="1" xfId="0" applyFont="1" applyFill="1" applyBorder="1" applyAlignment="1">
      <alignment horizontal="center" vertical="center"/>
    </xf>
    <xf numFmtId="164" fontId="3" fillId="0" borderId="1" xfId="1" applyNumberFormat="1" applyFont="1" applyBorder="1" applyAlignment="1">
      <alignment horizontal="left" vertical="center"/>
    </xf>
    <xf numFmtId="164" fontId="4" fillId="0" borderId="1" xfId="1" applyNumberFormat="1" applyFont="1" applyBorder="1" applyAlignment="1">
      <alignment horizontal="left" vertical="center"/>
    </xf>
    <xf numFmtId="0" fontId="0" fillId="0" borderId="0" xfId="0" applyAlignment="1">
      <alignment vertical="top"/>
    </xf>
    <xf numFmtId="167" fontId="0" fillId="0" borderId="0" xfId="0" applyNumberFormat="1" applyAlignment="1">
      <alignment horizontal="right" vertical="top"/>
    </xf>
    <xf numFmtId="0" fontId="1" fillId="0" borderId="0" xfId="0" applyFont="1" applyAlignment="1">
      <alignment horizontal="left"/>
    </xf>
    <xf numFmtId="168" fontId="1" fillId="0" borderId="1" xfId="0" applyNumberFormat="1" applyFont="1" applyBorder="1" applyAlignment="1">
      <alignment horizontal="center" vertical="center"/>
    </xf>
    <xf numFmtId="168" fontId="1" fillId="0" borderId="0" xfId="0" applyNumberFormat="1" applyFont="1"/>
    <xf numFmtId="0" fontId="0" fillId="0" borderId="0" xfId="0" applyFont="1" applyAlignment="1">
      <alignment horizontal="left"/>
    </xf>
    <xf numFmtId="0" fontId="0" fillId="3" borderId="1" xfId="0" applyFill="1" applyBorder="1" applyAlignment="1">
      <alignment vertical="top"/>
    </xf>
    <xf numFmtId="0" fontId="1" fillId="0" borderId="0" xfId="0" applyFont="1" applyAlignment="1">
      <alignment horizontal="center"/>
    </xf>
    <xf numFmtId="0" fontId="0" fillId="3" borderId="1" xfId="0" applyFill="1" applyBorder="1" applyAlignment="1">
      <alignment vertical="top" wrapText="1"/>
    </xf>
    <xf numFmtId="0" fontId="7" fillId="0" borderId="1" xfId="0" applyFont="1" applyBorder="1" applyAlignment="1">
      <alignment horizontal="center"/>
    </xf>
    <xf numFmtId="0" fontId="0" fillId="0" borderId="1" xfId="0" applyBorder="1" applyAlignment="1">
      <alignment horizontal="center"/>
    </xf>
    <xf numFmtId="0" fontId="0" fillId="5" borderId="1" xfId="0" applyFill="1" applyBorder="1" applyAlignment="1">
      <alignment vertical="top"/>
    </xf>
    <xf numFmtId="167" fontId="0" fillId="5" borderId="1" xfId="0" applyNumberFormat="1" applyFill="1" applyBorder="1" applyAlignment="1">
      <alignment horizontal="right" vertical="top"/>
    </xf>
    <xf numFmtId="0" fontId="7" fillId="0" borderId="1" xfId="0" applyFont="1" applyBorder="1" applyAlignment="1">
      <alignment horizontal="center" vertical="center"/>
    </xf>
    <xf numFmtId="0" fontId="7" fillId="0" borderId="0" xfId="0" applyFont="1"/>
    <xf numFmtId="0" fontId="7" fillId="0" borderId="1" xfId="0" applyFont="1" applyBorder="1" applyAlignment="1">
      <alignment horizontal="center" vertical="center" wrapText="1"/>
    </xf>
    <xf numFmtId="168" fontId="7" fillId="2" borderId="1" xfId="0" applyNumberFormat="1" applyFont="1" applyFill="1" applyBorder="1" applyAlignment="1">
      <alignment horizontal="center" vertical="center"/>
    </xf>
    <xf numFmtId="0" fontId="7" fillId="2" borderId="1" xfId="0" applyFont="1" applyFill="1" applyBorder="1" applyAlignment="1">
      <alignment horizontal="center" vertical="center"/>
    </xf>
    <xf numFmtId="0" fontId="7" fillId="0" borderId="1" xfId="0" applyFont="1" applyFill="1" applyBorder="1" applyAlignment="1">
      <alignment horizontal="center" vertical="center"/>
    </xf>
    <xf numFmtId="168" fontId="7" fillId="0" borderId="1" xfId="0" applyNumberFormat="1" applyFont="1" applyBorder="1" applyAlignment="1">
      <alignment horizontal="center" vertical="center" wrapText="1"/>
    </xf>
    <xf numFmtId="0" fontId="7" fillId="0" borderId="0" xfId="0" applyFont="1" applyAlignment="1">
      <alignment horizontal="center" vertical="center" wrapText="1"/>
    </xf>
    <xf numFmtId="0" fontId="7" fillId="4" borderId="2" xfId="0" applyNumberFormat="1" applyFont="1" applyFill="1" applyBorder="1" applyAlignment="1">
      <alignment horizontal="center"/>
    </xf>
    <xf numFmtId="0" fontId="7" fillId="4" borderId="3" xfId="0" applyNumberFormat="1" applyFont="1" applyFill="1" applyBorder="1" applyAlignment="1">
      <alignment vertical="center"/>
    </xf>
    <xf numFmtId="0" fontId="7" fillId="4" borderId="4" xfId="0" applyNumberFormat="1" applyFont="1" applyFill="1" applyBorder="1" applyAlignment="1">
      <alignment vertical="center"/>
    </xf>
    <xf numFmtId="164" fontId="8" fillId="0" borderId="1" xfId="1" applyNumberFormat="1" applyFont="1" applyBorder="1" applyAlignment="1">
      <alignment horizontal="left" vertical="center"/>
    </xf>
    <xf numFmtId="0" fontId="5" fillId="0" borderId="0" xfId="2"/>
    <xf numFmtId="0" fontId="1" fillId="0" borderId="1" xfId="0" applyNumberFormat="1" applyFont="1" applyBorder="1" applyAlignment="1">
      <alignment horizontal="center" vertical="center"/>
    </xf>
    <xf numFmtId="0" fontId="1" fillId="0" borderId="1" xfId="0" applyFont="1" applyBorder="1" applyAlignment="1">
      <alignment horizontal="left"/>
    </xf>
    <xf numFmtId="0" fontId="1" fillId="0" borderId="1" xfId="0" applyFont="1" applyBorder="1"/>
    <xf numFmtId="168" fontId="1" fillId="0" borderId="1" xfId="0" applyNumberFormat="1" applyFont="1" applyBorder="1"/>
    <xf numFmtId="0" fontId="1" fillId="0" borderId="1" xfId="0" applyFont="1" applyBorder="1" applyAlignment="1">
      <alignment horizontal="center"/>
    </xf>
    <xf numFmtId="0" fontId="11" fillId="0" borderId="0" xfId="2" applyFont="1" applyAlignment="1">
      <alignment vertical="center"/>
    </xf>
    <xf numFmtId="14" fontId="12" fillId="4" borderId="2" xfId="0" applyNumberFormat="1" applyFont="1" applyFill="1" applyBorder="1" applyAlignment="1">
      <alignment vertical="center"/>
    </xf>
    <xf numFmtId="0" fontId="7" fillId="4" borderId="1" xfId="0" applyNumberFormat="1" applyFont="1" applyFill="1" applyBorder="1" applyAlignment="1">
      <alignment horizontal="center" vertical="center"/>
    </xf>
    <xf numFmtId="0" fontId="0" fillId="0" borderId="0" xfId="0" applyAlignment="1"/>
    <xf numFmtId="4" fontId="0" fillId="0" borderId="0" xfId="0" applyNumberFormat="1" applyAlignment="1"/>
    <xf numFmtId="0" fontId="1" fillId="0" borderId="2" xfId="0" applyNumberFormat="1" applyFont="1" applyBorder="1" applyAlignment="1">
      <alignment horizontal="left" vertical="center"/>
    </xf>
    <xf numFmtId="0" fontId="1" fillId="0" borderId="3" xfId="0" applyNumberFormat="1" applyFont="1" applyBorder="1" applyAlignment="1">
      <alignment horizontal="left" vertical="center"/>
    </xf>
    <xf numFmtId="0" fontId="1" fillId="0" borderId="4" xfId="0" applyNumberFormat="1" applyFont="1" applyBorder="1" applyAlignment="1">
      <alignment horizontal="left" vertical="center"/>
    </xf>
    <xf numFmtId="0" fontId="1" fillId="0" borderId="0" xfId="0" applyFont="1" applyAlignment="1">
      <alignment horizontal="center" vertical="center" wrapText="1"/>
    </xf>
    <xf numFmtId="0" fontId="9" fillId="0" borderId="5" xfId="0" applyFont="1" applyBorder="1" applyAlignment="1">
      <alignment horizontal="center" vertical="center"/>
    </xf>
    <xf numFmtId="0" fontId="9" fillId="0" borderId="6" xfId="0" applyFont="1" applyBorder="1" applyAlignment="1">
      <alignment horizontal="center" vertical="center"/>
    </xf>
  </cellXfs>
  <cellStyles count="4">
    <cellStyle name="Comma" xfId="1" builtinId="3"/>
    <cellStyle name="Comma 2" xfId="3"/>
    <cellStyle name="Normal" xfId="0" builtinId="0"/>
    <cellStyle name="Normal 2" xfId="2"/>
  </cellStyles>
  <dxfs count="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695325</xdr:colOff>
          <xdr:row>0</xdr:row>
          <xdr:rowOff>9525</xdr:rowOff>
        </xdr:from>
        <xdr:to>
          <xdr:col>15</xdr:col>
          <xdr:colOff>66675</xdr:colOff>
          <xdr:row>0</xdr:row>
          <xdr:rowOff>400050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SG" altLang="en-US" sz="1600" b="0" i="0" u="none" strike="noStrike" baseline="0">
                  <a:solidFill>
                    <a:srgbClr val="FF0000"/>
                  </a:solidFill>
                  <a:latin typeface="Calibri"/>
                  <a:cs typeface="Calibri"/>
                </a:rPr>
                <a:t>Clean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7"/>
  <sheetViews>
    <sheetView workbookViewId="0">
      <selection activeCell="F19" sqref="F19"/>
    </sheetView>
  </sheetViews>
  <sheetFormatPr defaultColWidth="9.125" defaultRowHeight="18"/>
  <cols>
    <col min="1" max="1" width="22" style="1" customWidth="1"/>
    <col min="2" max="2" width="14.25" style="1" customWidth="1"/>
    <col min="3" max="3" width="9" style="1" customWidth="1"/>
    <col min="4" max="4" width="16.75" style="1" customWidth="1"/>
    <col min="5" max="5" width="14" style="1" customWidth="1"/>
    <col min="6" max="6" width="12.25" style="1" customWidth="1"/>
    <col min="7" max="7" width="14.25" style="1" customWidth="1"/>
    <col min="8" max="8" width="14.875" style="1" customWidth="1"/>
    <col min="9" max="9" width="11.375" style="1" customWidth="1"/>
    <col min="10" max="10" width="11.75" style="1" customWidth="1"/>
    <col min="11" max="11" width="13.875" style="1" customWidth="1"/>
    <col min="12" max="12" width="11.125" style="1" customWidth="1"/>
    <col min="13" max="13" width="17.875" style="1" bestFit="1" customWidth="1"/>
    <col min="14" max="14" width="12.125" style="1" bestFit="1" customWidth="1"/>
    <col min="15" max="15" width="17.25" style="1" customWidth="1"/>
    <col min="16" max="16" width="11.75" style="1" bestFit="1" customWidth="1"/>
    <col min="17" max="17" width="14" style="1" bestFit="1" customWidth="1"/>
    <col min="18" max="16384" width="9.125" style="1"/>
  </cols>
  <sheetData>
    <row r="1" spans="1:17">
      <c r="A1" s="2" t="s">
        <v>0</v>
      </c>
      <c r="B1" s="52">
        <v>9.06</v>
      </c>
      <c r="C1" s="53"/>
      <c r="D1" s="53"/>
      <c r="E1" s="53"/>
      <c r="F1" s="53"/>
      <c r="G1" s="53"/>
      <c r="H1" s="53"/>
      <c r="I1" s="53"/>
      <c r="J1" s="53"/>
      <c r="K1" s="53"/>
      <c r="L1" s="53"/>
      <c r="M1" s="53"/>
      <c r="N1" s="53"/>
      <c r="O1" s="54"/>
    </row>
    <row r="2" spans="1:17">
      <c r="A2" s="3" t="s">
        <v>1</v>
      </c>
      <c r="B2" s="4" t="s">
        <v>39</v>
      </c>
      <c r="C2" s="3" t="s">
        <v>2</v>
      </c>
      <c r="D2" s="3" t="s">
        <v>20</v>
      </c>
      <c r="E2" s="13" t="s">
        <v>21</v>
      </c>
      <c r="F2" s="3" t="s">
        <v>3</v>
      </c>
      <c r="G2" s="3" t="s">
        <v>22</v>
      </c>
      <c r="H2" s="3" t="s">
        <v>23</v>
      </c>
      <c r="I2" s="13" t="s">
        <v>24</v>
      </c>
      <c r="J2" s="13" t="s">
        <v>25</v>
      </c>
      <c r="K2" s="13" t="s">
        <v>4</v>
      </c>
      <c r="L2" s="13" t="s">
        <v>5</v>
      </c>
      <c r="M2" s="12" t="s">
        <v>6</v>
      </c>
      <c r="N2" s="13" t="s">
        <v>7</v>
      </c>
      <c r="O2" s="12" t="s">
        <v>8</v>
      </c>
    </row>
    <row r="3" spans="1:17" s="5" customFormat="1" ht="45" customHeight="1">
      <c r="A3" s="4" t="s">
        <v>40</v>
      </c>
      <c r="B3" s="4" t="s">
        <v>39</v>
      </c>
      <c r="C3" s="4" t="s">
        <v>26</v>
      </c>
      <c r="D3" s="4" t="s">
        <v>29</v>
      </c>
      <c r="E3" s="4" t="s">
        <v>27</v>
      </c>
      <c r="F3" s="4" t="s">
        <v>30</v>
      </c>
      <c r="G3" s="4" t="s">
        <v>31</v>
      </c>
      <c r="H3" s="4" t="s">
        <v>32</v>
      </c>
      <c r="I3" s="4" t="s">
        <v>28</v>
      </c>
      <c r="J3" s="4" t="s">
        <v>33</v>
      </c>
      <c r="K3" s="4" t="s">
        <v>34</v>
      </c>
      <c r="L3" s="4" t="s">
        <v>35</v>
      </c>
      <c r="M3" s="4" t="s">
        <v>37</v>
      </c>
      <c r="N3" s="4" t="s">
        <v>36</v>
      </c>
      <c r="O3" s="4" t="s">
        <v>38</v>
      </c>
    </row>
    <row r="4" spans="1:17">
      <c r="A4" s="14" t="s">
        <v>9</v>
      </c>
      <c r="B4" s="6">
        <v>733660.25601160293</v>
      </c>
      <c r="C4" s="3">
        <v>1.1000000000000001</v>
      </c>
      <c r="D4" s="7">
        <f>B4*C4</f>
        <v>807026.2816127633</v>
      </c>
      <c r="E4" s="6">
        <v>46835</v>
      </c>
      <c r="F4" s="3">
        <v>200</v>
      </c>
      <c r="G4" s="3">
        <v>31</v>
      </c>
      <c r="H4" s="3">
        <v>20</v>
      </c>
      <c r="I4" s="6">
        <v>607866</v>
      </c>
      <c r="J4" s="9">
        <v>450540.2</v>
      </c>
      <c r="K4" s="9">
        <v>367880</v>
      </c>
      <c r="L4" s="6">
        <v>78701</v>
      </c>
      <c r="M4" s="10">
        <f>L4/(F4*G4)</f>
        <v>12.693709677419355</v>
      </c>
      <c r="N4" s="3">
        <v>88076</v>
      </c>
      <c r="O4" s="10">
        <f>I4-J4</f>
        <v>157325.79999999999</v>
      </c>
      <c r="P4" s="11"/>
      <c r="Q4" s="11"/>
    </row>
    <row r="5" spans="1:17">
      <c r="A5" s="15" t="s">
        <v>10</v>
      </c>
      <c r="B5" s="6">
        <v>88061.157074687202</v>
      </c>
      <c r="C5" s="3">
        <v>1.1000000000000001</v>
      </c>
      <c r="D5" s="7">
        <f t="shared" ref="D5:D17" si="0">B5*C5</f>
        <v>96867.272782155924</v>
      </c>
      <c r="E5" s="3" t="s">
        <v>41</v>
      </c>
      <c r="F5" s="3">
        <v>200</v>
      </c>
      <c r="G5" s="3">
        <v>3</v>
      </c>
      <c r="H5" s="3">
        <v>3</v>
      </c>
      <c r="I5" s="3">
        <v>96267</v>
      </c>
      <c r="J5" s="3">
        <v>88337</v>
      </c>
      <c r="K5" s="3">
        <v>74346</v>
      </c>
      <c r="L5" s="3">
        <v>13076</v>
      </c>
      <c r="M5" s="10">
        <f t="shared" ref="M5:M17" si="1">L5/(F5*G5)</f>
        <v>21.793333333333333</v>
      </c>
      <c r="N5" s="3">
        <v>26753</v>
      </c>
      <c r="O5" s="10">
        <f t="shared" ref="O5:O17" si="2">I5-J5</f>
        <v>7930</v>
      </c>
    </row>
    <row r="6" spans="1:17">
      <c r="A6" s="14" t="s">
        <v>11</v>
      </c>
      <c r="B6" s="6">
        <v>632609.8005614779</v>
      </c>
      <c r="C6" s="3">
        <v>1.1000000000000001</v>
      </c>
      <c r="D6" s="7">
        <f t="shared" si="0"/>
        <v>695870.78061762569</v>
      </c>
      <c r="E6" s="3">
        <v>33895</v>
      </c>
      <c r="F6" s="3">
        <v>190</v>
      </c>
      <c r="G6" s="3">
        <v>23</v>
      </c>
      <c r="H6" s="3">
        <v>15</v>
      </c>
      <c r="I6" s="3">
        <v>548385</v>
      </c>
      <c r="J6" s="3">
        <v>498889</v>
      </c>
      <c r="K6" s="3">
        <v>308352</v>
      </c>
      <c r="L6" s="3">
        <v>186683</v>
      </c>
      <c r="M6" s="10">
        <f t="shared" si="1"/>
        <v>42.719221967963385</v>
      </c>
      <c r="N6" s="3">
        <v>12675</v>
      </c>
      <c r="O6" s="10">
        <f t="shared" si="2"/>
        <v>49496</v>
      </c>
    </row>
    <row r="7" spans="1:17">
      <c r="A7" s="15" t="s">
        <v>12</v>
      </c>
      <c r="B7" s="6">
        <v>93743.015087411186</v>
      </c>
      <c r="C7" s="3">
        <v>1.1000000000000001</v>
      </c>
      <c r="D7" s="7">
        <f t="shared" si="0"/>
        <v>103117.31659615232</v>
      </c>
      <c r="E7" s="3" t="s">
        <v>41</v>
      </c>
      <c r="F7" s="3">
        <v>190</v>
      </c>
      <c r="G7" s="3">
        <v>3</v>
      </c>
      <c r="H7" s="3">
        <v>2</v>
      </c>
      <c r="I7" s="3">
        <v>102742</v>
      </c>
      <c r="J7" s="3">
        <v>101246</v>
      </c>
      <c r="K7" s="3">
        <v>87944</v>
      </c>
      <c r="L7" s="3">
        <v>14878</v>
      </c>
      <c r="M7" s="10">
        <f t="shared" si="1"/>
        <v>26.101754385964913</v>
      </c>
      <c r="N7" s="3">
        <v>29348</v>
      </c>
      <c r="O7" s="10">
        <f t="shared" si="2"/>
        <v>1496</v>
      </c>
    </row>
    <row r="8" spans="1:17">
      <c r="A8" s="15" t="s">
        <v>13</v>
      </c>
      <c r="B8" s="6">
        <v>309656.10968707525</v>
      </c>
      <c r="C8" s="3">
        <v>1.07</v>
      </c>
      <c r="D8" s="7">
        <f t="shared" si="0"/>
        <v>331332.03736517054</v>
      </c>
      <c r="E8" s="3" t="s">
        <v>41</v>
      </c>
      <c r="F8" s="3">
        <v>130</v>
      </c>
      <c r="G8" s="3">
        <v>2</v>
      </c>
      <c r="H8" s="3">
        <v>2</v>
      </c>
      <c r="I8" s="3">
        <v>253299</v>
      </c>
      <c r="J8" s="3">
        <v>2929</v>
      </c>
      <c r="K8" s="3">
        <v>2265</v>
      </c>
      <c r="L8" s="3">
        <v>697</v>
      </c>
      <c r="M8" s="10">
        <f t="shared" si="1"/>
        <v>2.6807692307692306</v>
      </c>
      <c r="N8" s="3">
        <v>926</v>
      </c>
      <c r="O8" s="10">
        <f t="shared" si="2"/>
        <v>250370</v>
      </c>
    </row>
    <row r="9" spans="1:17">
      <c r="A9" s="15" t="s">
        <v>14</v>
      </c>
      <c r="B9" s="6">
        <v>5535.274641310808</v>
      </c>
      <c r="C9" s="3">
        <v>1.07</v>
      </c>
      <c r="D9" s="7">
        <f t="shared" si="0"/>
        <v>5922.7438662025652</v>
      </c>
      <c r="E9" s="3" t="s">
        <v>41</v>
      </c>
      <c r="F9" s="3"/>
      <c r="G9" s="3">
        <v>0</v>
      </c>
      <c r="H9" s="3">
        <v>0</v>
      </c>
      <c r="I9" s="3">
        <v>6475</v>
      </c>
      <c r="J9" s="3">
        <v>1892</v>
      </c>
      <c r="K9" s="3">
        <v>1413</v>
      </c>
      <c r="L9" s="3">
        <v>0</v>
      </c>
      <c r="M9" s="10" t="e">
        <f t="shared" si="1"/>
        <v>#DIV/0!</v>
      </c>
      <c r="N9" s="3">
        <v>744</v>
      </c>
      <c r="O9" s="10">
        <f t="shared" si="2"/>
        <v>4583</v>
      </c>
    </row>
    <row r="10" spans="1:17">
      <c r="A10" s="15" t="s">
        <v>15</v>
      </c>
      <c r="B10" s="6">
        <v>27398.86687596983</v>
      </c>
      <c r="C10" s="3">
        <v>1.07</v>
      </c>
      <c r="D10" s="7">
        <f t="shared" si="0"/>
        <v>29316.78755728772</v>
      </c>
      <c r="E10" s="3" t="s">
        <v>41</v>
      </c>
      <c r="F10" s="3"/>
      <c r="G10" s="3">
        <v>0</v>
      </c>
      <c r="H10" s="3">
        <v>0</v>
      </c>
      <c r="I10" s="3">
        <v>22061</v>
      </c>
      <c r="J10" s="3">
        <v>1440</v>
      </c>
      <c r="K10" s="3">
        <v>1025</v>
      </c>
      <c r="L10" s="3">
        <v>456</v>
      </c>
      <c r="M10" s="10" t="e">
        <f t="shared" si="1"/>
        <v>#DIV/0!</v>
      </c>
      <c r="N10" s="3">
        <v>48</v>
      </c>
      <c r="O10" s="10">
        <f t="shared" si="2"/>
        <v>20621</v>
      </c>
    </row>
    <row r="11" spans="1:17">
      <c r="A11" s="15" t="s">
        <v>16</v>
      </c>
      <c r="B11" s="6">
        <v>821.01806239737266</v>
      </c>
      <c r="C11" s="3">
        <v>1.07</v>
      </c>
      <c r="D11" s="7">
        <f t="shared" si="0"/>
        <v>878.48932676518882</v>
      </c>
      <c r="E11" s="3" t="s">
        <v>41</v>
      </c>
      <c r="F11" s="3"/>
      <c r="G11" s="3">
        <v>1</v>
      </c>
      <c r="H11" s="3">
        <v>1</v>
      </c>
      <c r="I11" s="3">
        <v>1384</v>
      </c>
      <c r="J11" s="3">
        <v>702</v>
      </c>
      <c r="K11" s="3">
        <v>564</v>
      </c>
      <c r="L11" s="3">
        <v>132</v>
      </c>
      <c r="M11" s="10" t="e">
        <f t="shared" si="1"/>
        <v>#DIV/0!</v>
      </c>
      <c r="N11" s="3">
        <v>324</v>
      </c>
      <c r="O11" s="10">
        <f t="shared" si="2"/>
        <v>682</v>
      </c>
    </row>
    <row r="12" spans="1:17">
      <c r="A12" s="15" t="s">
        <v>42</v>
      </c>
      <c r="B12" s="6">
        <v>123570.30582136061</v>
      </c>
      <c r="C12" s="3">
        <v>1.07</v>
      </c>
      <c r="D12" s="7">
        <f t="shared" si="0"/>
        <v>132220.22722885586</v>
      </c>
      <c r="E12" s="3" t="s">
        <v>41</v>
      </c>
      <c r="F12" s="3">
        <v>130</v>
      </c>
      <c r="G12" s="3">
        <v>17</v>
      </c>
      <c r="H12" s="3">
        <v>17</v>
      </c>
      <c r="I12" s="12">
        <v>266962</v>
      </c>
      <c r="J12" s="3">
        <v>129000</v>
      </c>
      <c r="K12" s="3">
        <v>74388</v>
      </c>
      <c r="L12" s="3">
        <v>53584</v>
      </c>
      <c r="M12" s="10">
        <f t="shared" si="1"/>
        <v>24.246153846153845</v>
      </c>
      <c r="N12" s="3">
        <v>48976</v>
      </c>
      <c r="O12" s="10">
        <f t="shared" si="2"/>
        <v>137962</v>
      </c>
    </row>
    <row r="13" spans="1:17">
      <c r="A13" s="15" t="s">
        <v>43</v>
      </c>
      <c r="B13" s="6">
        <v>42592.20492322409</v>
      </c>
      <c r="C13" s="3">
        <v>1.07</v>
      </c>
      <c r="D13" s="7">
        <f t="shared" si="0"/>
        <v>45573.659267849776</v>
      </c>
      <c r="E13" s="3" t="s">
        <v>41</v>
      </c>
      <c r="F13" s="3">
        <v>150</v>
      </c>
      <c r="G13" s="3">
        <v>5</v>
      </c>
      <c r="H13" s="3">
        <v>5</v>
      </c>
      <c r="I13" s="12">
        <v>55927</v>
      </c>
      <c r="J13" s="3">
        <v>55435</v>
      </c>
      <c r="K13" s="3">
        <v>34783</v>
      </c>
      <c r="L13" s="3">
        <v>20927</v>
      </c>
      <c r="M13" s="10">
        <f t="shared" si="1"/>
        <v>27.902666666666665</v>
      </c>
      <c r="N13" s="3">
        <v>5421</v>
      </c>
      <c r="O13" s="10">
        <f t="shared" si="2"/>
        <v>492</v>
      </c>
    </row>
    <row r="14" spans="1:17">
      <c r="A14" s="15" t="s">
        <v>44</v>
      </c>
      <c r="B14" s="6">
        <v>59910.538815451582</v>
      </c>
      <c r="C14" s="3">
        <v>1.07</v>
      </c>
      <c r="D14" s="7">
        <f t="shared" si="0"/>
        <v>64104.2765325332</v>
      </c>
      <c r="E14" s="3" t="s">
        <v>41</v>
      </c>
      <c r="F14" s="3">
        <v>145</v>
      </c>
      <c r="G14" s="3">
        <v>6</v>
      </c>
      <c r="H14" s="3">
        <v>5</v>
      </c>
      <c r="I14" s="12">
        <v>185328</v>
      </c>
      <c r="J14" s="3">
        <v>94479</v>
      </c>
      <c r="K14" s="3">
        <v>59539</v>
      </c>
      <c r="L14" s="3">
        <v>34070</v>
      </c>
      <c r="M14" s="10">
        <f t="shared" si="1"/>
        <v>39.160919540229884</v>
      </c>
      <c r="N14" s="3">
        <v>7857</v>
      </c>
      <c r="O14" s="10">
        <f t="shared" si="2"/>
        <v>90849</v>
      </c>
    </row>
    <row r="15" spans="1:17">
      <c r="A15" s="15" t="s">
        <v>17</v>
      </c>
      <c r="B15" s="6">
        <v>949865.34708839667</v>
      </c>
      <c r="C15" s="3">
        <v>1.1000000000000001</v>
      </c>
      <c r="D15" s="7">
        <f t="shared" si="0"/>
        <v>1044851.8817972364</v>
      </c>
      <c r="E15" s="3" t="s">
        <v>41</v>
      </c>
      <c r="F15" s="3">
        <v>190</v>
      </c>
      <c r="G15" s="3">
        <v>20</v>
      </c>
      <c r="H15" s="3">
        <v>0</v>
      </c>
      <c r="I15" s="12">
        <v>415740</v>
      </c>
      <c r="J15" s="3">
        <v>126412</v>
      </c>
      <c r="K15" s="3">
        <v>12588</v>
      </c>
      <c r="L15" s="3">
        <v>113717</v>
      </c>
      <c r="M15" s="10">
        <f t="shared" si="1"/>
        <v>29.925526315789472</v>
      </c>
      <c r="N15" s="3">
        <v>8145</v>
      </c>
      <c r="O15" s="10">
        <f t="shared" si="2"/>
        <v>289328</v>
      </c>
    </row>
    <row r="16" spans="1:17">
      <c r="A16" s="15" t="s">
        <v>18</v>
      </c>
      <c r="B16" s="6">
        <v>34603.623478505295</v>
      </c>
      <c r="C16" s="3">
        <v>0</v>
      </c>
      <c r="D16" s="8">
        <f t="shared" si="0"/>
        <v>0</v>
      </c>
      <c r="E16" s="3" t="s">
        <v>41</v>
      </c>
      <c r="F16" s="3"/>
      <c r="G16" s="3"/>
      <c r="H16" s="3"/>
      <c r="I16" s="3"/>
      <c r="J16" s="3"/>
      <c r="K16" s="3"/>
      <c r="L16" s="3"/>
      <c r="M16" s="10" t="e">
        <f t="shared" si="1"/>
        <v>#DIV/0!</v>
      </c>
      <c r="N16" s="3"/>
      <c r="O16" s="10">
        <f t="shared" si="2"/>
        <v>0</v>
      </c>
    </row>
    <row r="17" spans="1:15">
      <c r="A17" s="15" t="s">
        <v>19</v>
      </c>
      <c r="B17" s="6">
        <v>4126.5798905866814</v>
      </c>
      <c r="C17" s="3">
        <v>0</v>
      </c>
      <c r="D17" s="8">
        <f t="shared" si="0"/>
        <v>0</v>
      </c>
      <c r="E17" s="3" t="s">
        <v>41</v>
      </c>
      <c r="F17" s="3"/>
      <c r="G17" s="3"/>
      <c r="H17" s="3"/>
      <c r="I17" s="3"/>
      <c r="J17" s="3"/>
      <c r="K17" s="3"/>
      <c r="L17" s="3"/>
      <c r="M17" s="10" t="e">
        <f t="shared" si="1"/>
        <v>#DIV/0!</v>
      </c>
      <c r="N17" s="3"/>
      <c r="O17" s="10">
        <f t="shared" si="2"/>
        <v>0</v>
      </c>
    </row>
  </sheetData>
  <mergeCells count="1">
    <mergeCell ref="B1:O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AA120"/>
  <sheetViews>
    <sheetView tabSelected="1" zoomScale="70" zoomScaleNormal="70" workbookViewId="0">
      <selection activeCell="T22" sqref="T22"/>
    </sheetView>
  </sheetViews>
  <sheetFormatPr defaultColWidth="9.125" defaultRowHeight="18"/>
  <cols>
    <col min="1" max="2" width="19" style="18" customWidth="1"/>
    <col min="3" max="3" width="17" style="1" customWidth="1"/>
    <col min="4" max="4" width="9" style="1" customWidth="1"/>
    <col min="5" max="5" width="14.125" style="1" customWidth="1"/>
    <col min="6" max="6" width="11.875" style="20" customWidth="1"/>
    <col min="7" max="7" width="12.25" style="1" customWidth="1"/>
    <col min="8" max="9" width="12.25" style="23" customWidth="1"/>
    <col min="10" max="10" width="14" style="1" bestFit="1" customWidth="1"/>
    <col min="11" max="11" width="13.75" style="1" customWidth="1"/>
    <col min="12" max="12" width="13.875" style="1" customWidth="1"/>
    <col min="13" max="13" width="11.75" style="1" bestFit="1" customWidth="1"/>
    <col min="14" max="14" width="17.875" style="1" customWidth="1"/>
    <col min="15" max="15" width="16.125" style="1" customWidth="1"/>
    <col min="16" max="16" width="22.75" style="1" customWidth="1"/>
    <col min="17" max="17" width="10.875" style="1" customWidth="1"/>
    <col min="18" max="18" width="24.625" style="1" bestFit="1" customWidth="1"/>
    <col min="19" max="19" width="9.125" style="1"/>
    <col min="20" max="20" width="8.375" style="1" customWidth="1"/>
    <col min="21" max="16384" width="9.125" style="1"/>
  </cols>
  <sheetData>
    <row r="1" spans="1:26" s="30" customFormat="1" ht="33" customHeight="1">
      <c r="A1" s="49" t="s">
        <v>0</v>
      </c>
      <c r="B1" s="37"/>
      <c r="C1" s="48">
        <f ca="1">TODAY()</f>
        <v>46114</v>
      </c>
      <c r="D1" s="38"/>
      <c r="E1" s="38"/>
      <c r="F1" s="38"/>
      <c r="G1" s="38"/>
      <c r="H1" s="38"/>
      <c r="I1" s="38"/>
      <c r="J1" s="38"/>
      <c r="K1" s="38"/>
      <c r="L1" s="38"/>
      <c r="M1" s="38"/>
      <c r="N1" s="38"/>
      <c r="O1" s="38"/>
      <c r="P1" s="39"/>
      <c r="Q1" s="41"/>
      <c r="R1" s="41"/>
      <c r="S1" s="41"/>
      <c r="T1" s="41"/>
      <c r="U1" s="41"/>
      <c r="V1" s="41"/>
      <c r="W1" s="41"/>
    </row>
    <row r="2" spans="1:26" s="30" customFormat="1" ht="32.25" customHeight="1">
      <c r="A2" s="29" t="s">
        <v>1</v>
      </c>
      <c r="B2" s="29" t="s">
        <v>126</v>
      </c>
      <c r="C2" s="31" t="s">
        <v>39</v>
      </c>
      <c r="D2" s="29" t="s">
        <v>2</v>
      </c>
      <c r="E2" s="29" t="s">
        <v>20</v>
      </c>
      <c r="F2" s="32" t="s">
        <v>135</v>
      </c>
      <c r="G2" s="29" t="s">
        <v>3</v>
      </c>
      <c r="H2" s="29" t="s">
        <v>22</v>
      </c>
      <c r="I2" s="29" t="s">
        <v>23</v>
      </c>
      <c r="J2" s="33" t="s">
        <v>24</v>
      </c>
      <c r="K2" s="33" t="s">
        <v>25</v>
      </c>
      <c r="L2" s="33" t="s">
        <v>4</v>
      </c>
      <c r="M2" s="33" t="s">
        <v>5</v>
      </c>
      <c r="N2" s="34" t="s">
        <v>6</v>
      </c>
      <c r="O2" s="33" t="s">
        <v>7</v>
      </c>
      <c r="P2" s="34" t="s">
        <v>8</v>
      </c>
      <c r="Q2" s="41"/>
      <c r="R2" s="41"/>
      <c r="S2" s="41"/>
      <c r="T2" s="41"/>
      <c r="U2" s="41"/>
      <c r="V2" s="41"/>
      <c r="W2" s="41"/>
    </row>
    <row r="3" spans="1:26" s="36" customFormat="1" ht="58.5" customHeight="1">
      <c r="A3" s="31" t="s">
        <v>40</v>
      </c>
      <c r="B3" s="31" t="s">
        <v>127</v>
      </c>
      <c r="C3" s="31" t="s">
        <v>39</v>
      </c>
      <c r="D3" s="31" t="s">
        <v>26</v>
      </c>
      <c r="E3" s="31" t="s">
        <v>29</v>
      </c>
      <c r="F3" s="35" t="s">
        <v>136</v>
      </c>
      <c r="G3" s="31" t="s">
        <v>30</v>
      </c>
      <c r="H3" s="31" t="s">
        <v>31</v>
      </c>
      <c r="I3" s="31" t="s">
        <v>32</v>
      </c>
      <c r="J3" s="31" t="s">
        <v>28</v>
      </c>
      <c r="K3" s="31" t="s">
        <v>33</v>
      </c>
      <c r="L3" s="31" t="s">
        <v>34</v>
      </c>
      <c r="M3" s="31" t="s">
        <v>35</v>
      </c>
      <c r="N3" s="31" t="s">
        <v>37</v>
      </c>
      <c r="O3" s="31" t="s">
        <v>36</v>
      </c>
      <c r="P3" s="31" t="s">
        <v>38</v>
      </c>
      <c r="Q3" s="41"/>
      <c r="R3" s="41"/>
      <c r="S3" s="41"/>
      <c r="T3" s="41"/>
      <c r="U3" s="41"/>
      <c r="V3" s="41"/>
      <c r="W3" s="41"/>
      <c r="X3" s="41"/>
      <c r="Y3" s="41"/>
    </row>
    <row r="4" spans="1:26" ht="18.75" hidden="1" customHeight="1">
      <c r="A4" s="15" t="s">
        <v>14</v>
      </c>
      <c r="B4" s="15" t="s">
        <v>117</v>
      </c>
      <c r="C4" s="6">
        <v>13243.800712720229</v>
      </c>
      <c r="D4" s="3">
        <v>1.08</v>
      </c>
      <c r="E4" s="7">
        <f t="shared" ref="E4:E36" si="0">C4*D4</f>
        <v>14303.304769737848</v>
      </c>
      <c r="F4" s="19" t="s">
        <v>41</v>
      </c>
      <c r="G4" s="3">
        <v>150</v>
      </c>
      <c r="H4" s="3"/>
      <c r="I4" s="3"/>
      <c r="J4" s="6">
        <f>IF($A4="","",SUMIF('SD058'!$A:$A,"*"&amp;$A4&amp;"*",'SD058'!$B:$B))</f>
        <v>0</v>
      </c>
      <c r="K4" s="6">
        <f>IF($A4="","",SUMIF('PP055-MO'!$A:$A,"*"&amp;$A4&amp;"*",'PP055-MO'!$B:$B))</f>
        <v>0</v>
      </c>
      <c r="L4" s="6">
        <f>IF($A4="","",SUMIF('PP055-MO'!$A:$A,"*"&amp;$A4&amp;"*",'PP055-MO'!$C:$C))</f>
        <v>0</v>
      </c>
      <c r="M4" s="6">
        <f>IF($A4="","",SUMIF('PP055-OW'!$A:$A,"*"&amp;$A4&amp;"*",'PP055-OW'!$B:$B))</f>
        <v>0</v>
      </c>
      <c r="N4" s="10" t="str">
        <f t="shared" ref="N4:N29" si="1">IFERROR(M4/(G4*H4),"")</f>
        <v/>
      </c>
      <c r="O4" s="19">
        <f>IF($A4="","",SUMIF('WM014'!$A:$A,"*"&amp;$A4&amp;"*",'WM014'!$B:$B))</f>
        <v>0</v>
      </c>
      <c r="P4" s="19">
        <f t="shared" ref="P4:P21" si="2">J4-K4</f>
        <v>0</v>
      </c>
      <c r="Q4" s="41"/>
      <c r="R4" s="41"/>
      <c r="S4" s="41"/>
      <c r="T4" s="41"/>
      <c r="U4" s="41"/>
      <c r="V4" s="41"/>
      <c r="W4" s="41"/>
      <c r="X4" s="41"/>
      <c r="Y4" s="41"/>
    </row>
    <row r="5" spans="1:26" ht="18.75" hidden="1" customHeight="1">
      <c r="A5" s="15" t="s">
        <v>16</v>
      </c>
      <c r="B5" s="15" t="s">
        <v>117</v>
      </c>
      <c r="C5" s="6">
        <v>1847.2590438724023</v>
      </c>
      <c r="D5" s="3">
        <v>1.08</v>
      </c>
      <c r="E5" s="7">
        <f t="shared" si="0"/>
        <v>1995.0397673821947</v>
      </c>
      <c r="F5" s="19" t="s">
        <v>41</v>
      </c>
      <c r="G5" s="3">
        <v>150</v>
      </c>
      <c r="H5" s="3"/>
      <c r="I5" s="3"/>
      <c r="J5" s="6">
        <f>IF($A5="","",SUMIF('SD058'!$A:$A,"*"&amp;$A5&amp;"*",'SD058'!$B:$B))</f>
        <v>0</v>
      </c>
      <c r="K5" s="6">
        <f>IF($A5="","",SUMIF('PP055-MO'!$A:$A,"*"&amp;$A5&amp;"*",'PP055-MO'!$B:$B))</f>
        <v>0</v>
      </c>
      <c r="L5" s="6">
        <f>IF($A5="","",SUMIF('PP055-MO'!$A:$A,"*"&amp;$A5&amp;"*",'PP055-MO'!$C:$C))</f>
        <v>0</v>
      </c>
      <c r="M5" s="6">
        <f>IF($A5="","",SUMIF('PP055-OW'!$A:$A,"*"&amp;$A5&amp;"*",'PP055-OW'!$B:$B))</f>
        <v>0</v>
      </c>
      <c r="N5" s="10" t="str">
        <f t="shared" si="1"/>
        <v/>
      </c>
      <c r="O5" s="19">
        <f>IF($A5="","",SUMIF('WM014'!$A:$A,"*"&amp;$A5&amp;"*",'WM014'!$B:$B))</f>
        <v>0</v>
      </c>
      <c r="P5" s="19">
        <f t="shared" si="2"/>
        <v>0</v>
      </c>
      <c r="Q5" s="41"/>
      <c r="R5" s="41"/>
      <c r="S5" s="41"/>
      <c r="T5" s="41"/>
      <c r="U5" s="41"/>
      <c r="V5" s="41"/>
      <c r="W5" s="41"/>
      <c r="X5" s="41"/>
      <c r="Y5" s="41"/>
    </row>
    <row r="6" spans="1:26" ht="18.75" hidden="1" customHeight="1">
      <c r="A6" s="15" t="s">
        <v>65</v>
      </c>
      <c r="B6" s="15" t="s">
        <v>117</v>
      </c>
      <c r="C6" s="6">
        <v>2717</v>
      </c>
      <c r="D6" s="3">
        <v>1.08</v>
      </c>
      <c r="E6" s="7">
        <f t="shared" si="0"/>
        <v>2934.36</v>
      </c>
      <c r="F6" s="19"/>
      <c r="G6" s="3">
        <v>150</v>
      </c>
      <c r="H6" s="3"/>
      <c r="I6" s="3"/>
      <c r="J6" s="6">
        <f>IF($A6="","",SUMIF('SD058'!$A:$A,"*"&amp;$A6&amp;"*",'SD058'!$B:$B))</f>
        <v>0</v>
      </c>
      <c r="K6" s="6">
        <f>IF($A6="","",SUMIF('PP055-MO'!$A:$A,"*"&amp;$A6&amp;"*",'PP055-MO'!$B:$B))</f>
        <v>0</v>
      </c>
      <c r="L6" s="6">
        <f>IF($A6="","",SUMIF('PP055-MO'!$A:$A,"*"&amp;$A6&amp;"*",'PP055-MO'!$C:$C))</f>
        <v>0</v>
      </c>
      <c r="M6" s="6">
        <f>IF($A6="","",SUMIF('PP055-OW'!$A:$A,"*"&amp;$A6&amp;"*",'PP055-OW'!$B:$B))</f>
        <v>0</v>
      </c>
      <c r="N6" s="10" t="str">
        <f t="shared" si="1"/>
        <v/>
      </c>
      <c r="O6" s="19">
        <f>IF($A6="","",SUMIF('WM014'!$A:$A,"*"&amp;$A6&amp;"*",'WM014'!$B:$B))</f>
        <v>0</v>
      </c>
      <c r="P6" s="19">
        <f t="shared" si="2"/>
        <v>0</v>
      </c>
      <c r="Q6" s="41"/>
      <c r="R6" s="41"/>
      <c r="S6" s="41"/>
      <c r="T6" s="41"/>
      <c r="U6" s="41"/>
      <c r="V6" s="41"/>
      <c r="W6" s="41"/>
      <c r="X6" s="41"/>
      <c r="Y6" s="41"/>
    </row>
    <row r="7" spans="1:26" hidden="1">
      <c r="A7" s="15" t="s">
        <v>64</v>
      </c>
      <c r="B7" s="15" t="s">
        <v>116</v>
      </c>
      <c r="C7" s="6">
        <v>88079.717649455095</v>
      </c>
      <c r="D7" s="3">
        <v>1.08</v>
      </c>
      <c r="E7" s="7">
        <f t="shared" si="0"/>
        <v>95126.095061411514</v>
      </c>
      <c r="F7" s="19"/>
      <c r="G7" s="3">
        <v>170</v>
      </c>
      <c r="H7" s="3"/>
      <c r="I7" s="3"/>
      <c r="J7" s="6">
        <f>IF($A7="","",SUMIF('SD058'!$A:$A,"*"&amp;$A7&amp;"*",'SD058'!$B:$B))</f>
        <v>0</v>
      </c>
      <c r="K7" s="6">
        <f>IF($A7="","",SUMIF('PP055-MO'!$A:$A,"*"&amp;$A7&amp;"*",'PP055-MO'!$B:$B))</f>
        <v>0</v>
      </c>
      <c r="L7" s="6">
        <f>IF($A7="","",SUMIF('PP055-MO'!$A:$A,"*"&amp;$A7&amp;"*",'PP055-MO'!$C:$C))</f>
        <v>0</v>
      </c>
      <c r="M7" s="6">
        <f>IF($A7="","",SUMIF('PP055-OW'!$A:$A,"*"&amp;$A7&amp;"*",'PP055-OW'!$B:$B))</f>
        <v>0</v>
      </c>
      <c r="N7" s="10" t="str">
        <f t="shared" si="1"/>
        <v/>
      </c>
      <c r="O7" s="19">
        <f>IF($A7="","",SUMIF('WM014'!$A:$A,"*"&amp;$A7&amp;"*",'WM014'!$B:$B))</f>
        <v>0</v>
      </c>
      <c r="P7" s="19">
        <f t="shared" si="2"/>
        <v>0</v>
      </c>
      <c r="Q7" s="41"/>
      <c r="R7" s="41"/>
      <c r="S7" s="41"/>
      <c r="T7" s="41"/>
      <c r="U7" s="41"/>
      <c r="V7" s="41"/>
      <c r="W7" s="41"/>
      <c r="X7" s="41"/>
      <c r="Y7" s="41"/>
    </row>
    <row r="8" spans="1:26" hidden="1">
      <c r="A8" s="15" t="s">
        <v>13</v>
      </c>
      <c r="B8" s="15" t="s">
        <v>116</v>
      </c>
      <c r="C8" s="6">
        <v>723733.14873292507</v>
      </c>
      <c r="D8" s="3">
        <v>1.08</v>
      </c>
      <c r="E8" s="7">
        <f t="shared" si="0"/>
        <v>781631.8006315591</v>
      </c>
      <c r="F8" s="19"/>
      <c r="G8" s="3">
        <v>170</v>
      </c>
      <c r="H8" s="3"/>
      <c r="I8" s="3"/>
      <c r="J8" s="6">
        <f>IF($A8="","",SUMIF('SD058'!$A:$A,"*"&amp;$A8&amp;"*",'SD058'!$B:$B))</f>
        <v>0</v>
      </c>
      <c r="K8" s="6">
        <f>IF($A8="","",SUMIF('PP055-MO'!$A:$A,"*"&amp;$A8&amp;"*",'PP055-MO'!$B:$B))</f>
        <v>0</v>
      </c>
      <c r="L8" s="6">
        <f>IF($A8="","",SUMIF('PP055-MO'!$A:$A,"*"&amp;$A8&amp;"*",'PP055-MO'!$C:$C))</f>
        <v>0</v>
      </c>
      <c r="M8" s="6">
        <f>IF($A8="","",SUMIF('PP055-OW'!$A:$A,"*"&amp;$A8&amp;"*",'PP055-OW'!$B:$B))</f>
        <v>0</v>
      </c>
      <c r="N8" s="10" t="str">
        <f t="shared" si="1"/>
        <v/>
      </c>
      <c r="O8" s="19">
        <f>IF($A8="","",SUMIF('WM014'!$A:$A,"*"&amp;$A8&amp;"*",'WM014'!$B:$B))</f>
        <v>0</v>
      </c>
      <c r="P8" s="19">
        <f t="shared" si="2"/>
        <v>0</v>
      </c>
      <c r="Q8" s="41"/>
      <c r="R8"/>
      <c r="S8"/>
      <c r="T8"/>
      <c r="U8"/>
      <c r="V8"/>
      <c r="W8"/>
      <c r="X8"/>
      <c r="Y8"/>
      <c r="Z8"/>
    </row>
    <row r="9" spans="1:26" ht="21" customHeight="1">
      <c r="A9" s="15" t="s">
        <v>142</v>
      </c>
      <c r="B9" s="15" t="s">
        <v>116</v>
      </c>
      <c r="C9" s="6">
        <v>833934.18087357422</v>
      </c>
      <c r="D9" s="3">
        <v>1.08</v>
      </c>
      <c r="E9" s="7">
        <f t="shared" si="0"/>
        <v>900648.91534346028</v>
      </c>
      <c r="F9" s="19"/>
      <c r="G9" s="3">
        <v>170</v>
      </c>
      <c r="H9" s="3">
        <v>22</v>
      </c>
      <c r="I9" s="3">
        <v>11</v>
      </c>
      <c r="J9" s="6">
        <f>IF($A9="","",SUMIF('SD058'!$A:$A,"*"&amp;$A9&amp;"*",'SD058'!$B:$B))</f>
        <v>0</v>
      </c>
      <c r="K9" s="6">
        <f>IF($A9="","",SUMIF('PP055-MO'!$A:$A,"*"&amp;$A9&amp;"*",'PP055-MO'!$B:$B))</f>
        <v>0</v>
      </c>
      <c r="L9" s="6">
        <f>IF($A9="","",SUMIF('PP055-MO'!$A:$A,"*"&amp;$A9&amp;"*",'PP055-MO'!$C:$C))</f>
        <v>0</v>
      </c>
      <c r="M9" s="6">
        <f>IF($A9="","",SUMIF('PP055-OW'!$A:$A,"*"&amp;$A9&amp;"*",'PP055-OW'!$B:$B))</f>
        <v>0</v>
      </c>
      <c r="N9" s="10">
        <f>IFERROR(M9/(G9*H9),"")</f>
        <v>0</v>
      </c>
      <c r="O9" s="19">
        <f>IF($A9="","",SUMIF('WM014'!$A:$A,"*"&amp;$A9&amp;"*",'WM014'!$B:$B))</f>
        <v>0</v>
      </c>
      <c r="P9" s="19">
        <f>J9-K9</f>
        <v>0</v>
      </c>
      <c r="Q9" s="41"/>
      <c r="R9"/>
      <c r="S9"/>
      <c r="T9"/>
      <c r="U9"/>
      <c r="V9"/>
      <c r="W9"/>
      <c r="X9"/>
      <c r="Y9"/>
      <c r="Z9"/>
    </row>
    <row r="10" spans="1:26">
      <c r="A10" s="15" t="s">
        <v>191</v>
      </c>
      <c r="B10" s="15" t="s">
        <v>116</v>
      </c>
      <c r="C10" s="6">
        <v>199384.12840406681</v>
      </c>
      <c r="D10" s="3">
        <v>1.08</v>
      </c>
      <c r="E10" s="7">
        <f t="shared" si="0"/>
        <v>215334.85867639218</v>
      </c>
      <c r="F10" s="19"/>
      <c r="G10" s="3">
        <v>200</v>
      </c>
      <c r="H10" s="3">
        <v>12</v>
      </c>
      <c r="I10" s="3">
        <v>12</v>
      </c>
      <c r="J10" s="6">
        <f>IF($A10="","",SUMIF('SD058'!$A:$A,"*"&amp;$A10&amp;"*",'SD058'!$B:$B))</f>
        <v>0</v>
      </c>
      <c r="K10" s="6">
        <f>IF($A10="","",SUMIF('PP055-MO'!$A:$A,"*"&amp;$A10&amp;"*",'PP055-MO'!$B:$B))</f>
        <v>0</v>
      </c>
      <c r="L10" s="6">
        <f>IF($A10="","",SUMIF('PP055-MO'!$A:$A,"*"&amp;$A10&amp;"*",'PP055-MO'!$C:$C))</f>
        <v>0</v>
      </c>
      <c r="M10" s="6">
        <f>IF($A10="","",SUMIF('PP055-OW'!$A:$A,"*"&amp;$A10&amp;"*",'PP055-OW'!$B:$B))</f>
        <v>0</v>
      </c>
      <c r="N10" s="10">
        <f>IFERROR(M10/(G10*H10),"")</f>
        <v>0</v>
      </c>
      <c r="O10" s="19">
        <f>IF($A10="","",SUMIF('WM014'!$A:$A,"*"&amp;$A10&amp;"*",'WM014'!$B:$B))</f>
        <v>0</v>
      </c>
      <c r="P10" s="19">
        <f>J10-K10</f>
        <v>0</v>
      </c>
      <c r="Q10" s="41"/>
      <c r="R10" s="41"/>
      <c r="S10" s="41"/>
      <c r="T10" s="41"/>
      <c r="U10" s="41"/>
      <c r="V10" s="41"/>
      <c r="W10" s="41"/>
      <c r="X10" s="41"/>
      <c r="Y10" s="41"/>
    </row>
    <row r="11" spans="1:26">
      <c r="A11" s="15" t="s">
        <v>143</v>
      </c>
      <c r="B11" s="15" t="s">
        <v>116</v>
      </c>
      <c r="C11" s="6">
        <v>88820.62137590714</v>
      </c>
      <c r="D11" s="3">
        <v>1.08</v>
      </c>
      <c r="E11" s="7">
        <f t="shared" si="0"/>
        <v>95926.271085979723</v>
      </c>
      <c r="F11" s="19"/>
      <c r="G11" s="3">
        <v>170</v>
      </c>
      <c r="H11" s="3">
        <v>2</v>
      </c>
      <c r="I11" s="3">
        <v>2</v>
      </c>
      <c r="J11" s="6">
        <f>IF($A11="","",SUMIF('SD058'!$A:$A,"*"&amp;$A11&amp;"*",'SD058'!$B:$B))</f>
        <v>0</v>
      </c>
      <c r="K11" s="6">
        <f>IF($A11="","",SUMIF('PP055-MO'!$A:$A,"*"&amp;$A11&amp;"*",'PP055-MO'!$B:$B))</f>
        <v>0</v>
      </c>
      <c r="L11" s="6">
        <f>IF($A11="","",SUMIF('PP055-MO'!$A:$A,"*"&amp;$A11&amp;"*",'PP055-MO'!$C:$C))</f>
        <v>0</v>
      </c>
      <c r="M11" s="6">
        <f>IF($A11="","",SUMIF('PP055-OW'!$A:$A,"*"&amp;$A11&amp;"*",'PP055-OW'!$B:$B))</f>
        <v>0</v>
      </c>
      <c r="N11" s="10">
        <f>IFERROR(M11/(G11*H11),"")</f>
        <v>0</v>
      </c>
      <c r="O11" s="19">
        <f>IF($A11="","",SUMIF('WM014'!$A:$A,"*"&amp;$A11&amp;"*",'WM014'!$B:$B))</f>
        <v>0</v>
      </c>
      <c r="P11" s="19">
        <f>J11-K11</f>
        <v>0</v>
      </c>
      <c r="Q11" s="41"/>
      <c r="R11"/>
      <c r="S11"/>
      <c r="T11"/>
      <c r="U11"/>
      <c r="V11"/>
      <c r="W11"/>
      <c r="X11"/>
      <c r="Y11"/>
      <c r="Z11"/>
    </row>
    <row r="12" spans="1:26" ht="18.75" hidden="1" customHeight="1">
      <c r="A12" s="15" t="s">
        <v>15</v>
      </c>
      <c r="B12" s="15" t="s">
        <v>116</v>
      </c>
      <c r="C12" s="6">
        <v>59966.270010603999</v>
      </c>
      <c r="D12" s="3">
        <v>1.08</v>
      </c>
      <c r="E12" s="7">
        <f t="shared" si="0"/>
        <v>64763.571611452324</v>
      </c>
      <c r="F12" s="19"/>
      <c r="G12" s="3">
        <v>170</v>
      </c>
      <c r="H12" s="3"/>
      <c r="I12" s="3"/>
      <c r="J12" s="6">
        <f>IF($A12="","",SUMIF('SD058'!$A:$A,"*"&amp;$A12&amp;"*",'SD058'!$B:$B))</f>
        <v>0</v>
      </c>
      <c r="K12" s="6">
        <f>IF($A12="","",SUMIF('PP055-MO'!$A:$A,"*"&amp;$A12&amp;"*",'PP055-MO'!$B:$B))</f>
        <v>0</v>
      </c>
      <c r="L12" s="6">
        <f>IF($A12="","",SUMIF('PP055-MO'!$A:$A,"*"&amp;$A12&amp;"*",'PP055-MO'!$C:$C))</f>
        <v>0</v>
      </c>
      <c r="M12" s="6">
        <f>IF($A12="","",SUMIF('PP055-OW'!$A:$A,"*"&amp;$A12&amp;"*",'PP055-OW'!$B:$B))</f>
        <v>0</v>
      </c>
      <c r="N12" s="10" t="str">
        <f t="shared" si="1"/>
        <v/>
      </c>
      <c r="O12" s="19">
        <f>IF($A12="","",SUMIF('WM014'!$A:$A,"*"&amp;$A12&amp;"*",'WM014'!$B:$B))</f>
        <v>0</v>
      </c>
      <c r="P12" s="19">
        <f t="shared" si="2"/>
        <v>0</v>
      </c>
      <c r="Q12" s="41"/>
      <c r="R12"/>
      <c r="S12"/>
      <c r="T12"/>
      <c r="U12"/>
      <c r="V12"/>
      <c r="W12"/>
      <c r="X12"/>
      <c r="Y12"/>
      <c r="Z12"/>
    </row>
    <row r="13" spans="1:26">
      <c r="A13" s="15" t="s">
        <v>156</v>
      </c>
      <c r="B13" s="15" t="s">
        <v>116</v>
      </c>
      <c r="C13" s="6">
        <v>236296.41536730429</v>
      </c>
      <c r="D13" s="3">
        <v>1.08</v>
      </c>
      <c r="E13" s="7">
        <f t="shared" si="0"/>
        <v>255200.12859668865</v>
      </c>
      <c r="F13" s="19"/>
      <c r="G13" s="3">
        <v>100</v>
      </c>
      <c r="H13" s="3">
        <v>28</v>
      </c>
      <c r="I13" s="3">
        <v>26</v>
      </c>
      <c r="J13" s="6">
        <f>IF($A13="","",SUMIF('SD058'!$A:$A,"*"&amp;$A13&amp;"*",'SD058'!$B:$B))</f>
        <v>0</v>
      </c>
      <c r="K13" s="6">
        <f>IF($A13="","",SUMIF('PP055-MO'!$A:$A,"*"&amp;$A13&amp;"*",'PP055-MO'!$B:$B))</f>
        <v>0</v>
      </c>
      <c r="L13" s="6">
        <f>IF($A13="","",SUMIF('PP055-MO'!$A:$A,"*"&amp;$A13&amp;"*",'PP055-MO'!$C:$C))</f>
        <v>0</v>
      </c>
      <c r="M13" s="6">
        <f>IF($A13="","",SUMIF('PP055-OW'!$A:$A,"*"&amp;$A13&amp;"*",'PP055-OW'!$B:$B))</f>
        <v>0</v>
      </c>
      <c r="N13" s="10">
        <f>IFERROR(M13/(G13*H13),"")</f>
        <v>0</v>
      </c>
      <c r="O13" s="19">
        <f>IF($A13="","",SUMIF('WM014'!$A:$A,"*"&amp;$A13&amp;"*",'WM014'!$B:$B))</f>
        <v>0</v>
      </c>
      <c r="P13" s="19">
        <f>J13-K13</f>
        <v>0</v>
      </c>
      <c r="Q13" s="41"/>
      <c r="R13"/>
      <c r="S13"/>
      <c r="T13"/>
      <c r="U13"/>
      <c r="V13"/>
      <c r="W13"/>
      <c r="X13"/>
      <c r="Y13"/>
      <c r="Z13"/>
    </row>
    <row r="14" spans="1:26" hidden="1">
      <c r="A14" s="15" t="s">
        <v>112</v>
      </c>
      <c r="B14" s="15" t="s">
        <v>125</v>
      </c>
      <c r="C14" s="6">
        <v>1031720.7225796771</v>
      </c>
      <c r="D14" s="3">
        <v>1.1000000000000001</v>
      </c>
      <c r="E14" s="7">
        <f t="shared" si="0"/>
        <v>1134892.794837645</v>
      </c>
      <c r="F14" s="19"/>
      <c r="G14" s="3">
        <v>350</v>
      </c>
      <c r="H14" s="3">
        <v>22</v>
      </c>
      <c r="I14" s="3">
        <v>0</v>
      </c>
      <c r="J14" s="6">
        <f>IF($A14="","",SUMIF('SD058'!$A:$A,"*"&amp;$A14&amp;"*",'SD058'!$B:$B))</f>
        <v>0</v>
      </c>
      <c r="K14" s="6">
        <f>IF($A14="","",SUMIF('PP055-MO'!$A:$A,"*"&amp;$A14&amp;"*",'PP055-MO'!$B:$B))</f>
        <v>0</v>
      </c>
      <c r="L14" s="6">
        <f>IF($A14="","",SUMIF('PP055-MO'!$A:$A,"*"&amp;$A14&amp;"*",'PP055-MO'!$C:$C))</f>
        <v>0</v>
      </c>
      <c r="M14" s="6">
        <f>IF($A14="","",SUMIF('PP055-OW'!$A:$A,"*"&amp;$A14&amp;"*",'PP055-OW'!$B:$B))</f>
        <v>0</v>
      </c>
      <c r="N14" s="10">
        <f t="shared" si="1"/>
        <v>0</v>
      </c>
      <c r="O14" s="19">
        <f>IF($A14="","",SUMIF('WM014'!$A:$A,"*"&amp;$A14&amp;"*",'WM014'!$B:$B))</f>
        <v>0</v>
      </c>
      <c r="P14" s="19">
        <f t="shared" si="2"/>
        <v>0</v>
      </c>
      <c r="Q14" s="41"/>
      <c r="R14"/>
      <c r="S14"/>
      <c r="T14"/>
      <c r="U14"/>
      <c r="V14"/>
      <c r="W14"/>
      <c r="X14"/>
      <c r="Y14"/>
      <c r="Z14"/>
    </row>
    <row r="15" spans="1:26">
      <c r="A15" s="15" t="s">
        <v>209</v>
      </c>
      <c r="B15" s="15" t="s">
        <v>125</v>
      </c>
      <c r="C15" s="6">
        <v>1689001.106754957</v>
      </c>
      <c r="D15" s="3">
        <v>1.1000000000000001</v>
      </c>
      <c r="E15" s="7">
        <f t="shared" si="0"/>
        <v>1857901.2174304528</v>
      </c>
      <c r="F15" s="19"/>
      <c r="G15" s="3">
        <v>350</v>
      </c>
      <c r="H15" s="3">
        <v>25</v>
      </c>
      <c r="I15" s="3">
        <v>22</v>
      </c>
      <c r="J15" s="6">
        <f>IF($A15="","",SUMIF('SD058'!$A:$A,"*"&amp;$A15&amp;"*",'SD058'!$B:$B))</f>
        <v>0</v>
      </c>
      <c r="K15" s="6">
        <f>IF($A15="","",SUMIF('PP055-MO'!$A:$A,"*"&amp;$A15&amp;"*",'PP055-MO'!$B:$B))</f>
        <v>0</v>
      </c>
      <c r="L15" s="6">
        <f>IF($A15="","",SUMIF('PP055-MO'!$A:$A,"*"&amp;$A15&amp;"*",'PP055-MO'!$C:$C))</f>
        <v>0</v>
      </c>
      <c r="M15" s="6">
        <f>IF($A15="","",SUMIF('PP055-OW'!$A:$A,"*"&amp;$A15&amp;"*",'PP055-OW'!$B:$B))</f>
        <v>0</v>
      </c>
      <c r="N15" s="10">
        <f>IFERROR(M15/(G15*H15),"")</f>
        <v>0</v>
      </c>
      <c r="O15" s="19">
        <f>IF($A15="","",SUMIF('WM014'!$A:$A,"*"&amp;$A15&amp;"*",'WM014'!$B:$B))</f>
        <v>0</v>
      </c>
      <c r="P15" s="19">
        <f>J15-K15</f>
        <v>0</v>
      </c>
      <c r="Q15" s="41"/>
      <c r="R15"/>
      <c r="S15"/>
      <c r="T15"/>
      <c r="U15"/>
      <c r="V15"/>
      <c r="W15"/>
      <c r="X15"/>
      <c r="Y15"/>
      <c r="Z15"/>
    </row>
    <row r="16" spans="1:26">
      <c r="A16" s="15" t="s">
        <v>226</v>
      </c>
      <c r="B16" s="15" t="s">
        <v>122</v>
      </c>
      <c r="C16" s="6"/>
      <c r="D16" s="3">
        <v>1.08</v>
      </c>
      <c r="E16" s="7"/>
      <c r="F16" s="19"/>
      <c r="G16" s="3"/>
      <c r="H16" s="3">
        <v>1</v>
      </c>
      <c r="I16" s="3">
        <v>0</v>
      </c>
      <c r="J16" s="6">
        <f>IF($A16="","",SUMIF('SD058'!$A:$A,"*"&amp;$A16&amp;"*",'SD058'!$B:$B))</f>
        <v>0</v>
      </c>
      <c r="K16" s="6">
        <f>IF($A16="","",SUMIF('PP055-MO'!$A:$A,"*"&amp;$A16&amp;"*",'PP055-MO'!$B:$B))</f>
        <v>0</v>
      </c>
      <c r="L16" s="6">
        <f>IF($A16="","",SUMIF('PP055-MO'!$A:$A,"*"&amp;$A16&amp;"*",'PP055-MO'!$C:$C))</f>
        <v>0</v>
      </c>
      <c r="M16" s="6">
        <f>IF($A16="","",SUMIF('PP055-OW'!$A:$A,"*"&amp;$A16&amp;"*",'PP055-OW'!$B:$B))</f>
        <v>0</v>
      </c>
      <c r="N16" s="10" t="str">
        <f>IFERROR(M16/(G16*H16),"")</f>
        <v/>
      </c>
      <c r="O16" s="19">
        <f>IF($A16="","",SUMIF('WM014'!$A:$A,"*"&amp;$A16&amp;"*",'WM014'!$B:$B))</f>
        <v>0</v>
      </c>
      <c r="P16" s="19">
        <f>J16-K16</f>
        <v>0</v>
      </c>
      <c r="Q16" s="41"/>
      <c r="R16"/>
      <c r="S16"/>
      <c r="T16"/>
      <c r="U16"/>
      <c r="V16"/>
      <c r="W16"/>
      <c r="X16"/>
      <c r="Y16"/>
      <c r="Z16"/>
    </row>
    <row r="17" spans="1:27">
      <c r="A17" s="15" t="s">
        <v>175</v>
      </c>
      <c r="B17" s="15" t="s">
        <v>121</v>
      </c>
      <c r="C17" s="6">
        <v>701836.63339032605</v>
      </c>
      <c r="D17" s="3">
        <v>1.08</v>
      </c>
      <c r="E17" s="7">
        <f t="shared" si="0"/>
        <v>757983.56406155217</v>
      </c>
      <c r="F17" s="47"/>
      <c r="G17" s="3">
        <v>150</v>
      </c>
      <c r="H17" s="3">
        <v>19</v>
      </c>
      <c r="I17" s="3">
        <v>0</v>
      </c>
      <c r="J17" s="6">
        <f>IF($A17="","",SUMIF('SD058'!$A:$A,"*"&amp;$A17&amp;"*",'SD058'!$B:$B))</f>
        <v>0</v>
      </c>
      <c r="K17" s="6">
        <f>IF($A17="","",SUMIF('PP055-MO'!$A:$A,"*"&amp;$A17&amp;"*",'PP055-MO'!$B:$B))</f>
        <v>0</v>
      </c>
      <c r="L17" s="6">
        <f>IF($A17="","",SUMIF('PP055-MO'!$A:$A,"*"&amp;$A17&amp;"*",'PP055-MO'!$C:$C))</f>
        <v>0</v>
      </c>
      <c r="M17" s="6">
        <f>IF($A17="","",SUMIF('PP055-OW'!$A:$A,"*"&amp;$A17&amp;"*",'PP055-OW'!$B:$B))</f>
        <v>0</v>
      </c>
      <c r="N17" s="10">
        <f t="shared" si="1"/>
        <v>0</v>
      </c>
      <c r="O17" s="19">
        <f>IF($A17="","",SUMIF('WM014'!$A:$A,"*"&amp;$A17&amp;"*",'WM014'!$B:$B))</f>
        <v>0</v>
      </c>
      <c r="P17" s="19">
        <f t="shared" si="2"/>
        <v>0</v>
      </c>
      <c r="Q17" s="41"/>
      <c r="R17"/>
      <c r="S17"/>
      <c r="T17"/>
      <c r="U17"/>
      <c r="V17"/>
      <c r="W17"/>
      <c r="X17"/>
      <c r="Y17"/>
      <c r="Z17"/>
    </row>
    <row r="18" spans="1:27">
      <c r="A18" s="15" t="s">
        <v>174</v>
      </c>
      <c r="B18" s="15" t="s">
        <v>121</v>
      </c>
      <c r="C18" s="6">
        <v>165034.96503496502</v>
      </c>
      <c r="D18" s="3">
        <v>1.08</v>
      </c>
      <c r="E18" s="7">
        <f t="shared" si="0"/>
        <v>178237.76223776222</v>
      </c>
      <c r="F18" s="19"/>
      <c r="G18" s="3">
        <v>150</v>
      </c>
      <c r="H18" s="3">
        <v>4</v>
      </c>
      <c r="I18" s="3">
        <v>0</v>
      </c>
      <c r="J18" s="6">
        <f>IF($A18="","",SUMIF('SD058'!$A:$A,"*"&amp;$A18&amp;"*",'SD058'!$B:$B))</f>
        <v>0</v>
      </c>
      <c r="K18" s="6">
        <f>IF($A18="","",SUMIF('PP055-MO'!$A:$A,"*"&amp;$A18&amp;"*",'PP055-MO'!$B:$B))</f>
        <v>0</v>
      </c>
      <c r="L18" s="6">
        <f>IF($A18="","",SUMIF('PP055-MO'!$A:$A,"*"&amp;$A18&amp;"*",'PP055-MO'!$C:$C))</f>
        <v>0</v>
      </c>
      <c r="M18" s="6">
        <f>IF($A18="","",SUMIF('PP055-OW'!$A:$A,"*"&amp;$A18&amp;"*",'PP055-OW'!$B:$B))</f>
        <v>0</v>
      </c>
      <c r="N18" s="10">
        <f>IFERROR(M18/(G18*H18),"")</f>
        <v>0</v>
      </c>
      <c r="O18" s="19">
        <f>IF($A18="","",SUMIF('WM014'!$A:$A,"*"&amp;$A18&amp;"*",'WM014'!$B:$B))</f>
        <v>0</v>
      </c>
      <c r="P18" s="19">
        <f>J18-K18</f>
        <v>0</v>
      </c>
      <c r="Q18" s="41"/>
      <c r="R18"/>
      <c r="S18"/>
      <c r="T18"/>
      <c r="U18"/>
      <c r="V18"/>
      <c r="W18"/>
      <c r="X18"/>
      <c r="Y18"/>
      <c r="Z18"/>
    </row>
    <row r="19" spans="1:27" hidden="1">
      <c r="A19" s="15" t="s">
        <v>45</v>
      </c>
      <c r="B19" s="15" t="s">
        <v>121</v>
      </c>
      <c r="C19" s="6">
        <v>76531.825283608458</v>
      </c>
      <c r="D19" s="3">
        <v>1.08</v>
      </c>
      <c r="E19" s="7">
        <f t="shared" si="0"/>
        <v>82654.371306297136</v>
      </c>
      <c r="F19" s="19"/>
      <c r="G19" s="3">
        <v>180</v>
      </c>
      <c r="H19" s="3"/>
      <c r="I19" s="3"/>
      <c r="J19" s="6">
        <f>IF($A19="","",SUMIF('SD058'!$A:$A,"*"&amp;$A19&amp;"*",'SD058'!$B:$B))</f>
        <v>0</v>
      </c>
      <c r="K19" s="6">
        <f>IF($A19="","",SUMIF('PP055-MO'!$A:$A,"*"&amp;$A19&amp;"*",'PP055-MO'!$B:$B))</f>
        <v>0</v>
      </c>
      <c r="L19" s="6">
        <f>IF($A19="","",SUMIF('PP055-MO'!$A:$A,"*"&amp;$A19&amp;"*",'PP055-MO'!$C:$C))</f>
        <v>0</v>
      </c>
      <c r="M19" s="6">
        <f>IF($A19="","",SUMIF('PP055-OW'!$A:$A,"*"&amp;$A19&amp;"*",'PP055-OW'!$B:$B))</f>
        <v>0</v>
      </c>
      <c r="N19" s="10" t="str">
        <f>IFERROR(M19/(G19*H19),"")</f>
        <v/>
      </c>
      <c r="O19" s="19">
        <f>IF($A19="","",SUMIF('WM014'!$A:$A,"*"&amp;$A19&amp;"*",'WM014'!$B:$B))</f>
        <v>0</v>
      </c>
      <c r="P19" s="19">
        <f t="shared" si="2"/>
        <v>0</v>
      </c>
      <c r="Q19" s="41"/>
      <c r="R19"/>
      <c r="S19"/>
      <c r="T19" t="s">
        <v>199</v>
      </c>
      <c r="U19"/>
      <c r="V19"/>
      <c r="W19"/>
      <c r="X19"/>
      <c r="Y19"/>
      <c r="Z19"/>
    </row>
    <row r="20" spans="1:27">
      <c r="A20" s="15" t="s">
        <v>172</v>
      </c>
      <c r="B20" s="15" t="s">
        <v>121</v>
      </c>
      <c r="C20" s="6">
        <v>241162.42306010562</v>
      </c>
      <c r="D20" s="42">
        <v>1.08</v>
      </c>
      <c r="E20" s="7">
        <f t="shared" si="0"/>
        <v>260455.41690491408</v>
      </c>
      <c r="F20" s="19"/>
      <c r="G20" s="3">
        <v>180</v>
      </c>
      <c r="H20" s="3">
        <v>15</v>
      </c>
      <c r="I20" s="3">
        <v>6</v>
      </c>
      <c r="J20" s="6">
        <f>IF($A20="","",SUMIF('SD058'!$A:$A,"*"&amp;$A20&amp;"*",'SD058'!$B:$B))</f>
        <v>0</v>
      </c>
      <c r="K20" s="6">
        <f>IF($A20="","",SUMIF('PP055-MO'!$A:$A,"*"&amp;$A20&amp;"*",'PP055-MO'!$B:$B))</f>
        <v>0</v>
      </c>
      <c r="L20" s="6">
        <f>IF($A20="","",SUMIF('PP055-MO'!$A:$A,"*"&amp;$A20&amp;"*",'PP055-MO'!$C:$C))</f>
        <v>0</v>
      </c>
      <c r="M20" s="6">
        <f>IF($A20="","",SUMIF('PP055-OW'!$A:$A,"*"&amp;$A20&amp;"*",'PP055-OW'!$B:$B))</f>
        <v>0</v>
      </c>
      <c r="N20" s="10">
        <f>IFERROR(M20/(G20*H20),"")</f>
        <v>0</v>
      </c>
      <c r="O20" s="19">
        <f>IF($A20="","",SUMIF('WM014'!$A:$A,"*"&amp;$A20&amp;"*",'WM014'!$B:$B))</f>
        <v>0</v>
      </c>
      <c r="P20" s="19">
        <f>J20-K20</f>
        <v>0</v>
      </c>
      <c r="Q20" s="41"/>
      <c r="R20"/>
      <c r="S20"/>
      <c r="T20"/>
      <c r="U20"/>
      <c r="V20"/>
      <c r="W20"/>
      <c r="X20"/>
      <c r="Y20"/>
      <c r="Z20"/>
    </row>
    <row r="21" spans="1:27">
      <c r="A21" s="40" t="s">
        <v>52</v>
      </c>
      <c r="B21" s="15" t="s">
        <v>124</v>
      </c>
      <c r="C21" s="6">
        <v>6546.7123066721624</v>
      </c>
      <c r="D21" s="3">
        <v>1.1000000000000001</v>
      </c>
      <c r="E21" s="7">
        <f t="shared" si="0"/>
        <v>7201.3835373393795</v>
      </c>
      <c r="F21" s="19"/>
      <c r="G21" s="3">
        <v>250</v>
      </c>
      <c r="H21" s="3"/>
      <c r="I21" s="3"/>
      <c r="J21" s="6">
        <f>IF($A21="","",SUMIF('SD058'!$A:$A,"*"&amp;$A21&amp;"*",'SD058'!$B:$B))</f>
        <v>0</v>
      </c>
      <c r="K21" s="6">
        <f>IF($A21="","",SUMIF('PP055-MO'!$A:$A,"*"&amp;$A21&amp;"*",'PP055-MO'!$B:$B))</f>
        <v>0</v>
      </c>
      <c r="L21" s="6">
        <f>IF($A21="","",SUMIF('PP055-MO'!$A:$A,"*"&amp;$A21&amp;"*",'PP055-MO'!$C:$C))</f>
        <v>0</v>
      </c>
      <c r="M21" s="6">
        <f>IF($A21="","",SUMIF('PP055-OW'!$A:$A,"*"&amp;$A21&amp;"*",'PP055-OW'!$B:$B))</f>
        <v>0</v>
      </c>
      <c r="N21" s="10" t="str">
        <f t="shared" si="1"/>
        <v/>
      </c>
      <c r="O21" s="19">
        <f>IF($A21="","",SUMIF('WM014'!$A:$A,"*"&amp;$A21&amp;"*",'WM014'!$B:$B))</f>
        <v>0</v>
      </c>
      <c r="P21" s="19">
        <f t="shared" si="2"/>
        <v>0</v>
      </c>
      <c r="Q21" s="41"/>
      <c r="R21"/>
      <c r="S21"/>
      <c r="T21"/>
      <c r="U21"/>
      <c r="V21"/>
      <c r="W21"/>
      <c r="X21"/>
      <c r="Y21" t="s">
        <v>207</v>
      </c>
      <c r="Z21"/>
    </row>
    <row r="22" spans="1:27">
      <c r="A22" s="40" t="s">
        <v>201</v>
      </c>
      <c r="B22" s="15" t="s">
        <v>202</v>
      </c>
      <c r="C22" s="6"/>
      <c r="D22" s="3">
        <v>1.1000000000000001</v>
      </c>
      <c r="E22" s="7"/>
      <c r="F22" s="19"/>
      <c r="G22" s="3">
        <v>280</v>
      </c>
      <c r="H22" s="3"/>
      <c r="I22" s="3"/>
      <c r="J22" s="6">
        <f>IF($A22="","",SUMIF('SD058'!$A:$A,"*"&amp;$A22&amp;"*",'SD058'!$B:$B))</f>
        <v>0</v>
      </c>
      <c r="K22" s="6">
        <f>IF($A22="","",SUMIF('PP055-MO'!$A:$A,"*"&amp;$A22&amp;"*",'PP055-MO'!$B:$B))</f>
        <v>0</v>
      </c>
      <c r="L22" s="6">
        <f>IF($A22="","",SUMIF('PP055-MO'!$A:$A,"*"&amp;$A22&amp;"*",'PP055-MO'!$C:$C))</f>
        <v>0</v>
      </c>
      <c r="M22" s="6">
        <f>IF($A22="","",SUMIF('PP055-OW'!$A:$A,"*"&amp;$A22&amp;"*",'PP055-OW'!$B:$B))</f>
        <v>0</v>
      </c>
      <c r="N22" s="10" t="str">
        <f>IFERROR(M22/(G22*H22),"")</f>
        <v/>
      </c>
      <c r="O22" s="19">
        <f>IF($A22="","",SUMIF('WM014'!$A:$A,"*"&amp;$A22&amp;"*",'WM014'!$B:$B))</f>
        <v>0</v>
      </c>
      <c r="P22" s="19">
        <f>J22-K22</f>
        <v>0</v>
      </c>
      <c r="Q22" s="41"/>
      <c r="R22" t="s">
        <v>199</v>
      </c>
      <c r="S22"/>
      <c r="T22"/>
      <c r="U22"/>
      <c r="V22"/>
      <c r="W22"/>
      <c r="X22"/>
      <c r="Y22"/>
      <c r="Z22"/>
    </row>
    <row r="23" spans="1:27">
      <c r="A23" s="40"/>
      <c r="B23" s="15"/>
      <c r="C23" s="6"/>
      <c r="D23" s="3"/>
      <c r="E23" s="7"/>
      <c r="F23" s="19"/>
      <c r="G23" s="3"/>
      <c r="H23" s="3"/>
      <c r="I23" s="3"/>
      <c r="J23" s="6"/>
      <c r="K23" s="6"/>
      <c r="L23" s="6"/>
      <c r="M23" s="6"/>
      <c r="N23" s="10"/>
      <c r="O23" s="19"/>
      <c r="P23" s="19"/>
      <c r="Q23" s="41"/>
      <c r="R23"/>
      <c r="S23"/>
      <c r="T23"/>
      <c r="U23"/>
      <c r="V23"/>
      <c r="W23"/>
      <c r="X23"/>
      <c r="Y23"/>
      <c r="Z23"/>
    </row>
    <row r="24" spans="1:27">
      <c r="A24" s="14" t="s">
        <v>204</v>
      </c>
      <c r="B24" s="15" t="s">
        <v>117</v>
      </c>
      <c r="C24" s="6"/>
      <c r="D24" s="3">
        <v>1.1000000000000001</v>
      </c>
      <c r="E24" s="7"/>
      <c r="F24" s="19"/>
      <c r="G24" s="3">
        <v>140</v>
      </c>
      <c r="H24" s="3"/>
      <c r="I24" s="3"/>
      <c r="J24" s="6">
        <f>IF($A24="","",SUMIF('SD058'!$A:$A,"*"&amp;$A24&amp;"*",'SD058'!$B:$B))</f>
        <v>0</v>
      </c>
      <c r="K24" s="6">
        <f>IF($A24="","",SUMIF('PP055-MO'!$A:$A,"*"&amp;$A24&amp;"*",'PP055-MO'!$B:$B))</f>
        <v>0</v>
      </c>
      <c r="L24" s="6">
        <f>IF($A24="","",SUMIF('PP055-MO'!$A:$A,"*"&amp;$A24&amp;"*",'PP055-MO'!$C:$C))</f>
        <v>0</v>
      </c>
      <c r="M24" s="6">
        <f>IF($A24="","",SUMIF('PP055-OW'!$A:$A,"*"&amp;$A24&amp;"*",'PP055-OW'!$B:$B))</f>
        <v>0</v>
      </c>
      <c r="N24" s="10" t="str">
        <f>IFERROR(M24/(G24*H24),"")</f>
        <v/>
      </c>
      <c r="O24" s="19">
        <f>IF($A24="","",SUMIF('WM014'!$A:$A,"*"&amp;$A24&amp;"*",'WM014'!$B:$B))</f>
        <v>0</v>
      </c>
      <c r="P24" s="19">
        <f t="shared" ref="P24:P30" si="3">J24-K24</f>
        <v>0</v>
      </c>
      <c r="Q24" s="41"/>
      <c r="R24"/>
      <c r="S24"/>
      <c r="T24"/>
      <c r="U24"/>
      <c r="V24"/>
      <c r="W24"/>
      <c r="X24"/>
      <c r="Y24"/>
      <c r="Z24"/>
    </row>
    <row r="25" spans="1:27">
      <c r="A25" s="14" t="s">
        <v>176</v>
      </c>
      <c r="B25" s="15" t="s">
        <v>117</v>
      </c>
      <c r="C25" s="6">
        <v>1387970.6675785556</v>
      </c>
      <c r="D25" s="3">
        <v>1.1000000000000001</v>
      </c>
      <c r="E25" s="7">
        <f t="shared" si="0"/>
        <v>1526767.7343364113</v>
      </c>
      <c r="F25" s="41"/>
      <c r="G25" s="3">
        <v>150</v>
      </c>
      <c r="H25" s="3">
        <v>49</v>
      </c>
      <c r="I25" s="3">
        <v>46</v>
      </c>
      <c r="J25" s="6">
        <f>IF($A25="","",SUMIF('SD058'!$A:$A,"*"&amp;$A25&amp;"*",'SD058'!$B:$B))</f>
        <v>0</v>
      </c>
      <c r="K25" s="6">
        <f>IF($A25="","",SUMIF('PP055-MO'!$A:$A,"*"&amp;$A25&amp;"*",'PP055-MO'!$B:$B))</f>
        <v>0</v>
      </c>
      <c r="L25" s="6">
        <f>IF($A25="","",SUMIF('PP055-MO'!$A:$A,"*"&amp;$A25&amp;"*",'PP055-MO'!$C:$C))</f>
        <v>0</v>
      </c>
      <c r="M25" s="6">
        <f>IF($A25="","",SUMIF('PP055-OW'!$A:$A,"*"&amp;$A25&amp;"*",'PP055-OW'!$B:$B))</f>
        <v>0</v>
      </c>
      <c r="N25" s="10">
        <f t="shared" si="1"/>
        <v>0</v>
      </c>
      <c r="O25" s="19">
        <f>IF($A25="","",SUMIF('WM014'!$A:$A,"*"&amp;$A25&amp;"*",'WM014'!$B:$B))</f>
        <v>0</v>
      </c>
      <c r="P25" s="19">
        <f t="shared" si="3"/>
        <v>0</v>
      </c>
      <c r="Q25" s="41"/>
      <c r="R25"/>
      <c r="S25"/>
      <c r="T25"/>
      <c r="U25"/>
      <c r="V25"/>
      <c r="W25"/>
      <c r="X25"/>
      <c r="Y25"/>
      <c r="Z25"/>
      <c r="AA25" s="41"/>
    </row>
    <row r="26" spans="1:27">
      <c r="A26" s="14" t="s">
        <v>177</v>
      </c>
      <c r="B26" s="15" t="s">
        <v>178</v>
      </c>
      <c r="C26" s="6">
        <v>51788.890320917642</v>
      </c>
      <c r="D26" s="3">
        <v>1.1000000000000001</v>
      </c>
      <c r="E26" s="7">
        <f>C26*D26</f>
        <v>56967.779353009413</v>
      </c>
      <c r="F26" s="19"/>
      <c r="G26" s="3">
        <v>265</v>
      </c>
      <c r="H26" s="3">
        <v>2</v>
      </c>
      <c r="I26" s="3">
        <v>2</v>
      </c>
      <c r="J26" s="6">
        <f>IF($A26="","",SUMIF('SD058'!$A:$A,"*"&amp;$A26&amp;"*",'SD058'!$B:$B))</f>
        <v>0</v>
      </c>
      <c r="K26" s="6">
        <f>IF($A26="","",SUMIF('PP055-MO'!$A:$A,"*"&amp;$A26&amp;"*",'PP055-MO'!$B:$B))</f>
        <v>0</v>
      </c>
      <c r="L26" s="6">
        <f>IF($A26="","",SUMIF('PP055-MO'!$A:$A,"*"&amp;$A26&amp;"*",'PP055-MO'!$C:$C))</f>
        <v>0</v>
      </c>
      <c r="M26" s="6">
        <f>IF($A26="","",SUMIF('PP055-OW'!$A:$A,"*"&amp;$A26&amp;"*",'PP055-OW'!$B:$B))</f>
        <v>0</v>
      </c>
      <c r="N26" s="10">
        <f>IFERROR(M26/(G26*H26),"")</f>
        <v>0</v>
      </c>
      <c r="O26" s="19">
        <f>IF($A26="","",SUMIF('WM014'!$A:$A,"*"&amp;$A26&amp;"*",'WM014'!$B:$B))</f>
        <v>0</v>
      </c>
      <c r="P26" s="19">
        <f t="shared" si="3"/>
        <v>0</v>
      </c>
      <c r="Q26" s="41"/>
      <c r="R26"/>
      <c r="S26"/>
      <c r="T26"/>
      <c r="U26"/>
      <c r="V26"/>
      <c r="W26"/>
      <c r="X26"/>
      <c r="Y26"/>
      <c r="Z26"/>
      <c r="AA26" s="41"/>
    </row>
    <row r="27" spans="1:27">
      <c r="A27" s="14" t="s">
        <v>203</v>
      </c>
      <c r="B27" s="15" t="s">
        <v>178</v>
      </c>
      <c r="C27" s="6"/>
      <c r="D27" s="3">
        <v>1.1000000000000001</v>
      </c>
      <c r="E27" s="7"/>
      <c r="F27" s="19"/>
      <c r="G27" s="3">
        <v>190</v>
      </c>
      <c r="H27" s="3"/>
      <c r="I27" s="3"/>
      <c r="J27" s="6">
        <f>IF($A27="","",SUMIF('SD058'!$A:$A,"*"&amp;$A27&amp;"*",'SD058'!$B:$B))</f>
        <v>0</v>
      </c>
      <c r="K27" s="6">
        <f>IF($A27="","",SUMIF('PP055-MO'!$A:$A,"*"&amp;$A27&amp;"*",'PP055-MO'!$B:$B))</f>
        <v>0</v>
      </c>
      <c r="L27" s="6">
        <f>IF($A27="","",SUMIF('PP055-MO'!$A:$A,"*"&amp;$A27&amp;"*",'PP055-MO'!$C:$C))</f>
        <v>0</v>
      </c>
      <c r="M27" s="6">
        <f>IF($A27="","",SUMIF('PP055-OW'!$A:$A,"*"&amp;$A27&amp;"*",'PP055-OW'!$B:$B))</f>
        <v>0</v>
      </c>
      <c r="N27" s="10" t="str">
        <f>IFERROR(M27/(G27*H27),"")</f>
        <v/>
      </c>
      <c r="O27" s="19">
        <f>IF($A27="","",SUMIF('WM014'!$A:$A,"*"&amp;$A27&amp;"*",'WM014'!$B:$B))</f>
        <v>0</v>
      </c>
      <c r="P27" s="19">
        <f t="shared" si="3"/>
        <v>0</v>
      </c>
      <c r="Q27" s="41"/>
      <c r="R27"/>
      <c r="S27"/>
      <c r="T27"/>
      <c r="U27"/>
      <c r="V27"/>
      <c r="W27"/>
      <c r="X27"/>
      <c r="Y27"/>
      <c r="Z27"/>
      <c r="AA27" s="41"/>
    </row>
    <row r="28" spans="1:27" ht="19.5" hidden="1" customHeight="1">
      <c r="A28" s="14" t="s">
        <v>66</v>
      </c>
      <c r="B28" s="15" t="s">
        <v>117</v>
      </c>
      <c r="C28" s="6">
        <v>348382.70954532037</v>
      </c>
      <c r="D28" s="3">
        <v>1.1000000000000001</v>
      </c>
      <c r="E28" s="7">
        <f t="shared" si="0"/>
        <v>383220.98049985245</v>
      </c>
      <c r="F28" s="19"/>
      <c r="G28" s="3">
        <v>120</v>
      </c>
      <c r="H28" s="3"/>
      <c r="I28" s="3"/>
      <c r="J28" s="6">
        <f>IF($A28="","",SUMIF('SD058'!$A:$A,"*"&amp;$A28&amp;"*",'SD058'!$B:$B))</f>
        <v>0</v>
      </c>
      <c r="K28" s="6">
        <f>IF($A28="","",SUMIF('PP055-MO'!$A:$A,"*"&amp;$A28&amp;"*",'PP055-MO'!$B:$B))</f>
        <v>0</v>
      </c>
      <c r="L28" s="6">
        <f>IF($A28="","",SUMIF('PP055-MO'!$A:$A,"*"&amp;$A28&amp;"*",'PP055-MO'!$C:$C))</f>
        <v>0</v>
      </c>
      <c r="M28" s="6">
        <f>IF($A28="","",SUMIF('PP055-OW'!$A:$A,"*"&amp;$A28&amp;"*",'PP055-OW'!$B:$B))</f>
        <v>0</v>
      </c>
      <c r="N28" s="10" t="str">
        <f t="shared" si="1"/>
        <v/>
      </c>
      <c r="O28" s="19">
        <f>IF($A28="","",SUMIF('WM014'!$A:$A,"*"&amp;$A28&amp;"*",'WM014'!$B:$B))</f>
        <v>0</v>
      </c>
      <c r="P28" s="19">
        <f t="shared" si="3"/>
        <v>0</v>
      </c>
      <c r="Q28" s="41"/>
      <c r="R28"/>
      <c r="S28"/>
      <c r="T28"/>
      <c r="U28"/>
      <c r="V28"/>
      <c r="W28"/>
      <c r="X28"/>
      <c r="Y28"/>
      <c r="Z28"/>
      <c r="AA28" s="41"/>
    </row>
    <row r="29" spans="1:27" ht="19.5" hidden="1" customHeight="1">
      <c r="A29" s="14" t="s">
        <v>68</v>
      </c>
      <c r="B29" s="15" t="s">
        <v>117</v>
      </c>
      <c r="C29" s="6">
        <v>314183.03707497148</v>
      </c>
      <c r="D29" s="3">
        <v>1.1000000000000001</v>
      </c>
      <c r="E29" s="7">
        <f t="shared" si="0"/>
        <v>345601.34078246867</v>
      </c>
      <c r="F29" s="19"/>
      <c r="G29" s="3">
        <v>120</v>
      </c>
      <c r="H29" s="3">
        <v>2</v>
      </c>
      <c r="I29" s="3">
        <v>0</v>
      </c>
      <c r="J29" s="6">
        <f>IF($A29="","",SUMIF('SD058'!$A:$A,"*"&amp;$A29&amp;"*",'SD058'!$B:$B))</f>
        <v>0</v>
      </c>
      <c r="K29" s="6">
        <f>IF($A29="","",SUMIF('PP055-MO'!$A:$A,"*"&amp;$A29&amp;"*",'PP055-MO'!$B:$B))</f>
        <v>0</v>
      </c>
      <c r="L29" s="6">
        <f>IF($A29="","",SUMIF('PP055-MO'!$A:$A,"*"&amp;$A29&amp;"*",'PP055-MO'!$C:$C))</f>
        <v>0</v>
      </c>
      <c r="M29" s="6">
        <f>IF($A29="","",SUMIF('PP055-OW'!$A:$A,"*"&amp;$A29&amp;"*",'PP055-OW'!$B:$B))</f>
        <v>0</v>
      </c>
      <c r="N29" s="10">
        <f t="shared" si="1"/>
        <v>0</v>
      </c>
      <c r="O29" s="19">
        <f>IF($A29="","",SUMIF('WM014'!$A:$A,"*"&amp;$A29&amp;"*",'WM014'!$B:$B))</f>
        <v>0</v>
      </c>
      <c r="P29" s="19">
        <f t="shared" si="3"/>
        <v>0</v>
      </c>
      <c r="Q29" s="41"/>
      <c r="R29" s="50"/>
      <c r="S29" s="50"/>
      <c r="T29"/>
      <c r="U29"/>
      <c r="V29"/>
      <c r="W29"/>
      <c r="X29"/>
      <c r="Y29"/>
      <c r="Z29"/>
      <c r="AA29" s="41"/>
    </row>
    <row r="30" spans="1:27" hidden="1">
      <c r="A30" s="14" t="s">
        <v>133</v>
      </c>
      <c r="B30" s="15" t="s">
        <v>117</v>
      </c>
      <c r="C30" s="6">
        <v>61981.406042340008</v>
      </c>
      <c r="D30" s="3">
        <v>1.1000000000000001</v>
      </c>
      <c r="E30" s="7">
        <f t="shared" si="0"/>
        <v>68179.546646574017</v>
      </c>
      <c r="F30" s="19"/>
      <c r="G30" s="3">
        <v>120</v>
      </c>
      <c r="H30" s="3"/>
      <c r="I30" s="3"/>
      <c r="J30" s="6">
        <f>IF($A30="","",SUMIF('SD058'!$A:$A,"*"&amp;$A30&amp;"*",'SD058'!$B:$B))</f>
        <v>0</v>
      </c>
      <c r="K30" s="6">
        <f>IF($A30="","",SUMIF('PP055-MO'!$A:$A,"*"&amp;$A30&amp;"*",'PP055-MO'!$B:$B))</f>
        <v>0</v>
      </c>
      <c r="L30" s="6">
        <f>IF($A30="","",SUMIF('PP055-MO'!$A:$A,"*"&amp;$A30&amp;"*",'PP055-MO'!$C:$C))</f>
        <v>0</v>
      </c>
      <c r="M30" s="6">
        <f>IF($A30="","",SUMIF('PP055-OW'!$A:$A,"*"&amp;$A30&amp;"*",'PP055-OW'!$B:$B))</f>
        <v>0</v>
      </c>
      <c r="N30" s="10" t="str">
        <f t="shared" ref="N30:N43" si="4">IFERROR(M30/(G30*H30),"")</f>
        <v/>
      </c>
      <c r="O30" s="19">
        <f>IF($A30="","",SUMIF('WM014'!$A:$A,"*"&amp;$A30&amp;"*",'WM014'!$B:$B))</f>
        <v>0</v>
      </c>
      <c r="P30" s="19">
        <f t="shared" si="3"/>
        <v>0</v>
      </c>
      <c r="Q30" s="41"/>
      <c r="R30" s="50"/>
      <c r="S30" s="50"/>
      <c r="T30"/>
      <c r="U30"/>
      <c r="V30"/>
      <c r="W30"/>
      <c r="X30"/>
      <c r="Y30"/>
      <c r="Z30"/>
      <c r="AA30" s="41"/>
    </row>
    <row r="31" spans="1:27" ht="19.5" hidden="1" customHeight="1">
      <c r="A31" s="14" t="s">
        <v>115</v>
      </c>
      <c r="B31" s="15" t="s">
        <v>117</v>
      </c>
      <c r="C31" s="6">
        <v>28088.762977657541</v>
      </c>
      <c r="D31" s="3">
        <v>1.1000000000000001</v>
      </c>
      <c r="E31" s="7">
        <f t="shared" si="0"/>
        <v>30897.639275423298</v>
      </c>
      <c r="F31" s="19"/>
      <c r="G31" s="3">
        <v>120</v>
      </c>
      <c r="H31" s="3"/>
      <c r="I31" s="3"/>
      <c r="J31" s="6">
        <f>IF($A31="","",SUMIF('SD058'!$A:$A,"*"&amp;$A31&amp;"*",'SD058'!$B:$B))</f>
        <v>0</v>
      </c>
      <c r="K31" s="6">
        <f>IF($A31="","",SUMIF('PP055-MO'!$A:$A,"*"&amp;$A31&amp;"*",'PP055-MO'!$B:$B))</f>
        <v>0</v>
      </c>
      <c r="L31" s="6">
        <f>IF($A31="","",SUMIF('PP055-MO'!$A:$A,"*"&amp;$A31&amp;"*",'PP055-MO'!$C:$C))</f>
        <v>0</v>
      </c>
      <c r="M31" s="6">
        <f>IF($A31="","",SUMIF('PP055-OW'!$A:$A,"*"&amp;$A31&amp;"*",'PP055-OW'!$B:$B))</f>
        <v>0</v>
      </c>
      <c r="N31" s="10" t="str">
        <f t="shared" si="4"/>
        <v/>
      </c>
      <c r="O31" s="19">
        <f>IF($A31="","",SUMIF('WM014'!$A:$A,"*"&amp;$A31&amp;"*",'WM014'!$B:$B))</f>
        <v>0</v>
      </c>
      <c r="P31" s="19">
        <f t="shared" ref="P31:P41" si="5">J31-K31</f>
        <v>0</v>
      </c>
      <c r="Q31" s="41"/>
      <c r="R31" s="50"/>
      <c r="S31" s="50"/>
      <c r="T31"/>
      <c r="U31"/>
      <c r="V31"/>
      <c r="W31"/>
      <c r="X31"/>
      <c r="Y31"/>
      <c r="Z31"/>
      <c r="AA31" s="41"/>
    </row>
    <row r="32" spans="1:27" ht="19.5" customHeight="1">
      <c r="A32" s="14" t="s">
        <v>197</v>
      </c>
      <c r="B32" s="40" t="s">
        <v>118</v>
      </c>
      <c r="C32" s="6">
        <v>884031.69168641907</v>
      </c>
      <c r="D32" s="3">
        <v>1.1000000000000001</v>
      </c>
      <c r="E32" s="7">
        <f t="shared" si="0"/>
        <v>972434.8608550611</v>
      </c>
      <c r="F32" s="19"/>
      <c r="G32" s="3">
        <v>120</v>
      </c>
      <c r="H32" s="3">
        <v>22</v>
      </c>
      <c r="I32" s="3">
        <v>16</v>
      </c>
      <c r="J32" s="6">
        <f>IF($A32="","",SUMIF('SD058'!$A:$A,"*"&amp;$A32&amp;"*",'SD058'!$B:$B))</f>
        <v>0</v>
      </c>
      <c r="K32" s="6">
        <f>IF($A32="","",SUMIF('PP055-MO'!$A:$A,"*"&amp;$A32&amp;"*",'PP055-MO'!$B:$B))</f>
        <v>0</v>
      </c>
      <c r="L32" s="6">
        <f>IF($A32="","",SUMIF('PP055-MO'!$A:$A,"*"&amp;$A32&amp;"*",'PP055-MO'!$C:$C))</f>
        <v>0</v>
      </c>
      <c r="M32" s="6">
        <f>IF($A32="","",SUMIF('PP055-OW'!$A:$A,"*"&amp;$A32&amp;"*",'PP055-OW'!$B:$B))</f>
        <v>0</v>
      </c>
      <c r="N32" s="10">
        <f t="shared" si="4"/>
        <v>0</v>
      </c>
      <c r="O32" s="19">
        <f>IF($A32="","",SUMIF('WM014'!$A:$A,"*"&amp;$A32&amp;"*",'WM014'!$B:$B))</f>
        <v>0</v>
      </c>
      <c r="P32" s="19">
        <f t="shared" si="5"/>
        <v>0</v>
      </c>
      <c r="Q32" s="41"/>
      <c r="R32" s="50"/>
      <c r="S32" s="51"/>
      <c r="T32"/>
      <c r="U32"/>
      <c r="V32"/>
      <c r="W32"/>
      <c r="X32"/>
      <c r="Y32"/>
      <c r="Z32"/>
      <c r="AA32" s="41"/>
    </row>
    <row r="33" spans="1:27" ht="19.5" customHeight="1">
      <c r="A33" s="14" t="s">
        <v>213</v>
      </c>
      <c r="B33" s="40" t="s">
        <v>118</v>
      </c>
      <c r="C33" s="6">
        <v>275921.3386179122</v>
      </c>
      <c r="D33" s="3">
        <v>1.1000000000000001</v>
      </c>
      <c r="E33" s="7">
        <f t="shared" si="0"/>
        <v>303513.47247970343</v>
      </c>
      <c r="F33" s="19"/>
      <c r="G33" s="3">
        <v>120</v>
      </c>
      <c r="H33" s="3">
        <v>1</v>
      </c>
      <c r="I33" s="3">
        <v>0</v>
      </c>
      <c r="J33" s="6">
        <f>IF($A33="","",SUMIF('SD058'!$A:$A,"*"&amp;$A33&amp;"*",'SD058'!$B:$B))</f>
        <v>0</v>
      </c>
      <c r="K33" s="6">
        <f>IF($A33="","",SUMIF('PP055-MO'!$A:$A,"*"&amp;$A33&amp;"*",'PP055-MO'!$B:$B))</f>
        <v>0</v>
      </c>
      <c r="L33" s="6">
        <f>IF($A33="","",SUMIF('PP055-MO'!$A:$A,"*"&amp;$A33&amp;"*",'PP055-MO'!$C:$C))</f>
        <v>0</v>
      </c>
      <c r="M33" s="6">
        <f>IF($A33="","",SUMIF('PP055-OW'!$A:$A,"*"&amp;$A33&amp;"*",'PP055-OW'!$B:$B))</f>
        <v>0</v>
      </c>
      <c r="N33" s="10">
        <f t="shared" ref="N33:N34" si="6">IFERROR(M33/(G33*H33),"")</f>
        <v>0</v>
      </c>
      <c r="O33" s="19">
        <f>IF($A33="","",SUMIF('WM014'!$A:$A,"*"&amp;$A33&amp;"*",'WM014'!$B:$B))</f>
        <v>0</v>
      </c>
      <c r="P33" s="19">
        <f t="shared" ref="P33:P34" si="7">J33-K33</f>
        <v>0</v>
      </c>
      <c r="Q33" s="41"/>
      <c r="R33" s="50"/>
      <c r="S33" s="51"/>
      <c r="T33"/>
      <c r="U33"/>
      <c r="V33"/>
      <c r="W33"/>
      <c r="X33"/>
      <c r="Y33"/>
      <c r="Z33"/>
      <c r="AA33" s="41"/>
    </row>
    <row r="34" spans="1:27" ht="19.5" customHeight="1">
      <c r="A34" s="14" t="s">
        <v>210</v>
      </c>
      <c r="B34" s="40" t="s">
        <v>118</v>
      </c>
      <c r="C34" s="6">
        <v>5433.7403311385287</v>
      </c>
      <c r="D34" s="3">
        <v>1.1000000000000001</v>
      </c>
      <c r="E34" s="7">
        <f t="shared" si="0"/>
        <v>5977.1143642523821</v>
      </c>
      <c r="F34" s="19"/>
      <c r="G34" s="3">
        <v>120</v>
      </c>
      <c r="H34" s="3"/>
      <c r="I34" s="3"/>
      <c r="J34" s="6">
        <f>IF($A34="","",SUMIF('SD058'!$A:$A,"*"&amp;$A34&amp;"*",'SD058'!$B:$B))</f>
        <v>0</v>
      </c>
      <c r="K34" s="6">
        <f>IF($A34="","",SUMIF('PP055-MO'!$A:$A,"*"&amp;$A34&amp;"*",'PP055-MO'!$B:$B))</f>
        <v>0</v>
      </c>
      <c r="L34" s="6">
        <f>IF($A34="","",SUMIF('PP055-MO'!$A:$A,"*"&amp;$A34&amp;"*",'PP055-MO'!$C:$C))</f>
        <v>0</v>
      </c>
      <c r="M34" s="6">
        <f>IF($A34="","",SUMIF('PP055-OW'!$A:$A,"*"&amp;$A34&amp;"*",'PP055-OW'!$B:$B))</f>
        <v>0</v>
      </c>
      <c r="N34" s="10" t="str">
        <f t="shared" si="6"/>
        <v/>
      </c>
      <c r="O34" s="19">
        <f>IF($A34="","",SUMIF('WM014'!$A:$A,"*"&amp;$A34&amp;"*",'WM014'!$B:$B))</f>
        <v>0</v>
      </c>
      <c r="P34" s="19">
        <f t="shared" si="7"/>
        <v>0</v>
      </c>
      <c r="Q34" s="41"/>
      <c r="R34" s="50"/>
      <c r="S34" s="51"/>
      <c r="T34"/>
      <c r="U34"/>
      <c r="V34"/>
      <c r="W34"/>
      <c r="X34"/>
      <c r="Y34"/>
      <c r="Z34"/>
      <c r="AA34" s="41"/>
    </row>
    <row r="35" spans="1:27" ht="19.5" customHeight="1">
      <c r="A35" s="14" t="s">
        <v>218</v>
      </c>
      <c r="B35" s="40" t="s">
        <v>118</v>
      </c>
      <c r="C35" s="6">
        <v>37282.650386754452</v>
      </c>
      <c r="D35" s="3">
        <v>1.1000000000000001</v>
      </c>
      <c r="E35" s="7">
        <f t="shared" si="0"/>
        <v>41010.915425429899</v>
      </c>
      <c r="F35" s="19"/>
      <c r="G35" s="3">
        <v>120</v>
      </c>
      <c r="H35" s="3"/>
      <c r="I35" s="3"/>
      <c r="J35" s="6">
        <f>IF($A35="","",SUMIF('SD058'!$A:$A,"*"&amp;$A35&amp;"*",'SD058'!$B:$B))</f>
        <v>0</v>
      </c>
      <c r="K35" s="6">
        <f>IF($A35="","",SUMIF('PP055-MO'!$A:$A,"*"&amp;$A35&amp;"*",'PP055-MO'!$B:$B))</f>
        <v>0</v>
      </c>
      <c r="L35" s="6">
        <f>IF($A35="","",SUMIF('PP055-MO'!$A:$A,"*"&amp;$A35&amp;"*",'PP055-MO'!$C:$C))</f>
        <v>0</v>
      </c>
      <c r="M35" s="6">
        <f>IF($A35="","",SUMIF('PP055-OW'!$A:$A,"*"&amp;$A35&amp;"*",'PP055-OW'!$B:$B))</f>
        <v>0</v>
      </c>
      <c r="N35" s="10" t="str">
        <f t="shared" ref="N35" si="8">IFERROR(M35/(G35*H35),"")</f>
        <v/>
      </c>
      <c r="O35" s="19">
        <f>IF($A35="","",SUMIF('WM014'!$A:$A,"*"&amp;$A35&amp;"*",'WM014'!$B:$B))</f>
        <v>0</v>
      </c>
      <c r="P35" s="19">
        <f t="shared" ref="P35" si="9">J35-K35</f>
        <v>0</v>
      </c>
      <c r="Q35" s="41"/>
      <c r="R35" s="50"/>
      <c r="S35" s="51"/>
      <c r="T35"/>
      <c r="U35"/>
      <c r="V35"/>
      <c r="W35"/>
      <c r="X35"/>
      <c r="Y35"/>
      <c r="Z35"/>
      <c r="AA35" s="41"/>
    </row>
    <row r="36" spans="1:27" ht="19.5" customHeight="1">
      <c r="A36" s="14" t="s">
        <v>220</v>
      </c>
      <c r="B36" s="40" t="s">
        <v>118</v>
      </c>
      <c r="C36" s="6">
        <v>2397.238381384645</v>
      </c>
      <c r="D36" s="3">
        <v>1.1000000000000001</v>
      </c>
      <c r="E36" s="7">
        <f t="shared" si="0"/>
        <v>2636.9622195231095</v>
      </c>
      <c r="F36" s="19"/>
      <c r="G36" s="3">
        <v>120</v>
      </c>
      <c r="H36" s="3"/>
      <c r="I36" s="3"/>
      <c r="J36" s="6">
        <f>IF($A36="","",SUMIF('SD058'!$A:$A,"*"&amp;$A36&amp;"*",'SD058'!$B:$B))</f>
        <v>0</v>
      </c>
      <c r="K36" s="6">
        <f>IF($A36="","",SUMIF('PP055-MO'!$A:$A,"*"&amp;$A36&amp;"*",'PP055-MO'!$B:$B))</f>
        <v>0</v>
      </c>
      <c r="L36" s="6">
        <f>IF($A36="","",SUMIF('PP055-MO'!$A:$A,"*"&amp;$A36&amp;"*",'PP055-MO'!$C:$C))</f>
        <v>0</v>
      </c>
      <c r="M36" s="6">
        <f>IF($A36="","",SUMIF('PP055-OW'!$A:$A,"*"&amp;$A36&amp;"*",'PP055-OW'!$B:$B))</f>
        <v>0</v>
      </c>
      <c r="N36" s="10" t="str">
        <f t="shared" ref="N36:N39" si="10">IFERROR(M36/(G36*H36),"")</f>
        <v/>
      </c>
      <c r="O36" s="19">
        <f>IF($A36="","",SUMIF('WM014'!$A:$A,"*"&amp;$A36&amp;"*",'WM014'!$B:$B))</f>
        <v>0</v>
      </c>
      <c r="P36" s="19">
        <f t="shared" ref="P36:P39" si="11">J36-K36</f>
        <v>0</v>
      </c>
      <c r="Q36" s="41"/>
      <c r="R36" s="50"/>
      <c r="S36" s="51"/>
      <c r="T36"/>
      <c r="U36"/>
      <c r="V36"/>
      <c r="W36"/>
      <c r="X36"/>
      <c r="Y36"/>
      <c r="Z36"/>
      <c r="AA36" s="41"/>
    </row>
    <row r="37" spans="1:27" hidden="1">
      <c r="A37" s="14" t="s">
        <v>132</v>
      </c>
      <c r="B37" s="40" t="s">
        <v>118</v>
      </c>
      <c r="C37" s="6">
        <v>193131.45536402863</v>
      </c>
      <c r="D37" s="3">
        <v>1.1000000000000001</v>
      </c>
      <c r="E37" s="7">
        <f t="shared" ref="E37:E42" si="12">C37*D37</f>
        <v>212444.60090043151</v>
      </c>
      <c r="F37" s="19"/>
      <c r="G37" s="3">
        <v>150</v>
      </c>
      <c r="H37" s="3"/>
      <c r="I37" s="3"/>
      <c r="J37" s="6">
        <f>IF($A37="","",SUMIF('SD058'!$A:$A,"*"&amp;$A37&amp;"*",'SD058'!$B:$B))</f>
        <v>0</v>
      </c>
      <c r="K37" s="6">
        <f>IF($A37="","",SUMIF('PP055-MO'!$A:$A,"*"&amp;$A37&amp;"*",'PP055-MO'!$B:$B))</f>
        <v>0</v>
      </c>
      <c r="L37" s="6">
        <f>IF($A37="","",SUMIF('PP055-MO'!$A:$A,"*"&amp;$A37&amp;"*",'PP055-MO'!$C:$C))</f>
        <v>0</v>
      </c>
      <c r="M37" s="6">
        <f>IF($A37="","",SUMIF('PP055-OW'!$A:$A,"*"&amp;$A37&amp;"*",'PP055-OW'!$B:$B))</f>
        <v>0</v>
      </c>
      <c r="N37" s="10" t="str">
        <f t="shared" si="10"/>
        <v/>
      </c>
      <c r="O37" s="19">
        <f>IF($A37="","",SUMIF('WM014'!$A:$A,"*"&amp;$A37&amp;"*",'WM014'!$B:$B))</f>
        <v>0</v>
      </c>
      <c r="P37" s="19">
        <f t="shared" si="11"/>
        <v>0</v>
      </c>
      <c r="Q37" s="41"/>
      <c r="R37" s="50"/>
      <c r="S37" s="51"/>
      <c r="T37"/>
      <c r="U37"/>
      <c r="V37"/>
      <c r="W37"/>
      <c r="X37"/>
      <c r="Y37"/>
      <c r="Z37"/>
      <c r="AA37" s="41"/>
    </row>
    <row r="38" spans="1:27" hidden="1">
      <c r="A38" s="14" t="s">
        <v>113</v>
      </c>
      <c r="B38" s="40" t="s">
        <v>118</v>
      </c>
      <c r="C38" s="6">
        <v>168172.32813277096</v>
      </c>
      <c r="D38" s="3">
        <v>1.1000000000000001</v>
      </c>
      <c r="E38" s="7">
        <f t="shared" si="12"/>
        <v>184989.56094604806</v>
      </c>
      <c r="F38" s="19"/>
      <c r="G38" s="3">
        <v>120</v>
      </c>
      <c r="H38" s="3"/>
      <c r="I38" s="3"/>
      <c r="J38" s="6">
        <f>IF($A38="","",SUMIF('SD058'!$A:$A,"*"&amp;$A38&amp;"*",'SD058'!$B:$B))</f>
        <v>0</v>
      </c>
      <c r="K38" s="6">
        <f>IF($A38="","",SUMIF('PP055-MO'!$A:$A,"*"&amp;$A38&amp;"*",'PP055-MO'!$B:$B))</f>
        <v>0</v>
      </c>
      <c r="L38" s="6">
        <f>IF($A38="","",SUMIF('PP055-MO'!$A:$A,"*"&amp;$A38&amp;"*",'PP055-MO'!$C:$C))</f>
        <v>0</v>
      </c>
      <c r="M38" s="6">
        <f>IF($A38="","",SUMIF('PP055-OW'!$A:$A,"*"&amp;$A38&amp;"*",'PP055-OW'!$B:$B))</f>
        <v>0</v>
      </c>
      <c r="N38" s="10" t="str">
        <f t="shared" si="10"/>
        <v/>
      </c>
      <c r="O38" s="19">
        <f>IF($A38="","",SUMIF('WM014'!$A:$A,"*"&amp;$A38&amp;"*",'WM014'!$B:$B))</f>
        <v>0</v>
      </c>
      <c r="P38" s="19">
        <f t="shared" si="11"/>
        <v>0</v>
      </c>
      <c r="Q38" s="41"/>
      <c r="R38" s="50"/>
      <c r="S38" s="51"/>
      <c r="T38"/>
      <c r="U38"/>
      <c r="V38"/>
      <c r="W38"/>
      <c r="X38"/>
      <c r="Y38"/>
      <c r="Z38"/>
      <c r="AA38" s="41"/>
    </row>
    <row r="39" spans="1:27" hidden="1">
      <c r="A39" s="14" t="s">
        <v>134</v>
      </c>
      <c r="B39" s="40" t="s">
        <v>118</v>
      </c>
      <c r="C39" s="6">
        <v>2557.0542734769547</v>
      </c>
      <c r="D39" s="3">
        <v>1.1000000000000001</v>
      </c>
      <c r="E39" s="7">
        <f t="shared" si="12"/>
        <v>2812.7597008246503</v>
      </c>
      <c r="F39" s="19"/>
      <c r="G39" s="3">
        <v>120</v>
      </c>
      <c r="H39" s="3"/>
      <c r="I39" s="3"/>
      <c r="J39" s="6">
        <f>IF($A39="","",SUMIF('SD058'!$A:$A,"*"&amp;$A39&amp;"*",'SD058'!$B:$B))</f>
        <v>0</v>
      </c>
      <c r="K39" s="6">
        <f>IF($A39="","",SUMIF('PP055-MO'!$A:$A,"*"&amp;$A39&amp;"*",'PP055-MO'!$B:$B))</f>
        <v>0</v>
      </c>
      <c r="L39" s="6">
        <f>IF($A39="","",SUMIF('PP055-MO'!$A:$A,"*"&amp;$A39&amp;"*",'PP055-MO'!$C:$C))</f>
        <v>0</v>
      </c>
      <c r="M39" s="6">
        <f>IF($A39="","",SUMIF('PP055-OW'!$A:$A,"*"&amp;$A39&amp;"*",'PP055-OW'!$B:$B))</f>
        <v>0</v>
      </c>
      <c r="N39" s="10" t="str">
        <f t="shared" si="10"/>
        <v/>
      </c>
      <c r="O39" s="19">
        <f>IF($A39="","",SUMIF('WM014'!$A:$A,"*"&amp;$A39&amp;"*",'WM014'!$B:$B))</f>
        <v>0</v>
      </c>
      <c r="P39" s="19">
        <f t="shared" si="11"/>
        <v>0</v>
      </c>
      <c r="Q39" s="41"/>
      <c r="R39" s="50"/>
      <c r="S39" s="50"/>
      <c r="T39"/>
      <c r="U39"/>
      <c r="V39"/>
      <c r="W39"/>
      <c r="X39"/>
      <c r="Y39"/>
      <c r="Z39"/>
      <c r="AA39" s="41"/>
    </row>
    <row r="40" spans="1:27">
      <c r="A40" s="14" t="s">
        <v>154</v>
      </c>
      <c r="B40" s="40" t="s">
        <v>117</v>
      </c>
      <c r="C40" s="6">
        <v>1838.4465126967714</v>
      </c>
      <c r="D40" s="3">
        <v>1.08</v>
      </c>
      <c r="E40" s="7">
        <f t="shared" si="12"/>
        <v>1985.5222337125133</v>
      </c>
      <c r="F40" s="19"/>
      <c r="G40" s="3">
        <v>140</v>
      </c>
      <c r="H40" s="3"/>
      <c r="I40" s="3"/>
      <c r="J40" s="6">
        <f>IF($A40="","",SUMIF('SD058'!$A:$A,"*"&amp;$A40&amp;"*",'SD058'!$B:$B))</f>
        <v>0</v>
      </c>
      <c r="K40" s="6">
        <f>IF($A40="","",SUMIF('PP055-MO'!$A:$A,"*"&amp;$A40&amp;"*",'PP055-MO'!$B:$B))</f>
        <v>0</v>
      </c>
      <c r="L40" s="6">
        <f>IF($A40="","",SUMIF('PP055-MO'!$A:$A,"*"&amp;$A40&amp;"*",'PP055-MO'!$C:$C))</f>
        <v>0</v>
      </c>
      <c r="M40" s="6">
        <f>IF($A40="","",SUMIF('PP055-OW'!$A:$A,"*"&amp;$A40&amp;"*",'PP055-OW'!$B:$B))</f>
        <v>0</v>
      </c>
      <c r="N40" s="10" t="str">
        <f t="shared" si="4"/>
        <v/>
      </c>
      <c r="O40" s="19">
        <f>IF($A40="","",SUMIF('WM014'!$A:$A,"*"&amp;$A40&amp;"*",'WM014'!$B:$B))</f>
        <v>0</v>
      </c>
      <c r="P40" s="19">
        <f t="shared" si="5"/>
        <v>0</v>
      </c>
      <c r="Q40" s="41"/>
      <c r="R40" s="50" t="s">
        <v>199</v>
      </c>
      <c r="S40" s="50"/>
      <c r="T40"/>
      <c r="U40"/>
      <c r="V40"/>
      <c r="W40"/>
      <c r="X40"/>
      <c r="Y40"/>
      <c r="Z40"/>
      <c r="AA40" s="41"/>
    </row>
    <row r="41" spans="1:27">
      <c r="A41" s="14" t="s">
        <v>147</v>
      </c>
      <c r="B41" s="40" t="s">
        <v>117</v>
      </c>
      <c r="C41" s="6">
        <v>15609.337258660824</v>
      </c>
      <c r="D41" s="3">
        <v>1.08</v>
      </c>
      <c r="E41" s="7">
        <f t="shared" si="12"/>
        <v>16858.084239353691</v>
      </c>
      <c r="F41" s="19"/>
      <c r="G41" s="3">
        <v>100</v>
      </c>
      <c r="H41" s="3">
        <v>1</v>
      </c>
      <c r="I41" s="3">
        <v>1</v>
      </c>
      <c r="J41" s="6">
        <f>IF($A41="","",SUMIF('SD058'!$A:$A,"*"&amp;$A41&amp;"*",'SD058'!$B:$B))</f>
        <v>0</v>
      </c>
      <c r="K41" s="6">
        <f>IF($A41="","",SUMIF('PP055-MO'!$A:$A,"*"&amp;$A41&amp;"*",'PP055-MO'!$B:$B))</f>
        <v>0</v>
      </c>
      <c r="L41" s="6">
        <f>IF($A41="","",SUMIF('PP055-MO'!$A:$A,"*"&amp;$A41&amp;"*",'PP055-MO'!$C:$C))</f>
        <v>0</v>
      </c>
      <c r="M41" s="6">
        <f>IF($A41="","",SUMIF('PP055-OW'!$A:$A,"*"&amp;$A41&amp;"*",'PP055-OW'!$B:$B))</f>
        <v>0</v>
      </c>
      <c r="N41" s="10">
        <f t="shared" si="4"/>
        <v>0</v>
      </c>
      <c r="O41" s="19">
        <f>IF($A41="","",SUMIF('WM014'!$A:$A,"*"&amp;$A41&amp;"*",'WM014'!$B:$B))</f>
        <v>0</v>
      </c>
      <c r="P41" s="19">
        <f t="shared" si="5"/>
        <v>0</v>
      </c>
      <c r="Q41" s="41"/>
      <c r="R41" s="50"/>
      <c r="S41" s="50"/>
      <c r="T41"/>
      <c r="U41"/>
      <c r="V41"/>
      <c r="W41"/>
      <c r="X41"/>
      <c r="Y41"/>
      <c r="Z41"/>
      <c r="AA41" s="41"/>
    </row>
    <row r="42" spans="1:27">
      <c r="A42" s="14" t="s">
        <v>190</v>
      </c>
      <c r="B42" s="40" t="s">
        <v>117</v>
      </c>
      <c r="C42" s="6">
        <v>4564.3342918435346</v>
      </c>
      <c r="D42" s="3">
        <v>1.08</v>
      </c>
      <c r="E42" s="7">
        <f t="shared" si="12"/>
        <v>4929.4810351910173</v>
      </c>
      <c r="F42" s="19"/>
      <c r="G42" s="3">
        <v>120</v>
      </c>
      <c r="H42" s="3"/>
      <c r="I42" s="3"/>
      <c r="J42" s="6">
        <f>IF($A42="","",SUMIF('SD058'!$A:$A,"*"&amp;$A42&amp;"*",'SD058'!$B:$B))</f>
        <v>0</v>
      </c>
      <c r="K42" s="6">
        <f>IF($A42="","",SUMIF('PP055-MO'!$A:$A,"*"&amp;$A42&amp;"*",'PP055-MO'!$B:$B))</f>
        <v>0</v>
      </c>
      <c r="L42" s="6">
        <f>IF($A42="","",SUMIF('PP055-MO'!$A:$A,"*"&amp;$A42&amp;"*",'PP055-MO'!$C:$C))</f>
        <v>0</v>
      </c>
      <c r="M42" s="6">
        <f>IF($A42="","",SUMIF('PP055-OW'!$A:$A,"*"&amp;$A42&amp;"*",'PP055-OW'!$B:$B))</f>
        <v>0</v>
      </c>
      <c r="N42" s="10" t="str">
        <f t="shared" si="4"/>
        <v/>
      </c>
      <c r="O42" s="19">
        <f>IF($A42="","",SUMIF('WM014'!$A:$A,"*"&amp;$A42&amp;"*",'WM014'!$B:$B))</f>
        <v>0</v>
      </c>
      <c r="P42" s="19">
        <f>J42-K42</f>
        <v>0</v>
      </c>
      <c r="Q42" s="41"/>
      <c r="R42" s="50"/>
      <c r="S42" s="50"/>
      <c r="T42"/>
      <c r="U42"/>
      <c r="V42"/>
      <c r="W42"/>
      <c r="X42"/>
      <c r="Y42"/>
      <c r="Z42"/>
      <c r="AA42" s="41"/>
    </row>
    <row r="43" spans="1:27">
      <c r="A43" s="14" t="s">
        <v>165</v>
      </c>
      <c r="B43" s="40" t="s">
        <v>125</v>
      </c>
      <c r="C43" s="6"/>
      <c r="D43" s="3">
        <v>1.1000000000000001</v>
      </c>
      <c r="E43" s="7"/>
      <c r="F43" s="19"/>
      <c r="G43" s="3">
        <v>100</v>
      </c>
      <c r="H43" s="3"/>
      <c r="I43" s="3"/>
      <c r="J43" s="6">
        <f>IF($A43="","",SUMIF('SD058'!$A:$A,"*"&amp;$A43&amp;"*",'SD058'!$B:$B))</f>
        <v>0</v>
      </c>
      <c r="K43" s="6">
        <f>IF($A43="","",SUMIF('PP055-MO'!$A:$A,"*"&amp;$A43&amp;"*",'PP055-MO'!$B:$B))</f>
        <v>0</v>
      </c>
      <c r="L43" s="6">
        <f>IF($A43="","",SUMIF('PP055-MO'!$A:$A,"*"&amp;$A43&amp;"*",'PP055-MO'!$C:$C))</f>
        <v>0</v>
      </c>
      <c r="M43" s="6">
        <f>IF($A43="","",SUMIF('PP055-OW'!$A:$A,"*"&amp;$A43&amp;"*",'PP055-OW'!$B:$B))</f>
        <v>0</v>
      </c>
      <c r="N43" s="10" t="str">
        <f t="shared" si="4"/>
        <v/>
      </c>
      <c r="O43" s="19">
        <f>IF($A43="","",SUMIF('WM014'!$A:$A,"*"&amp;$A43&amp;"*",'WM014'!$B:$B))</f>
        <v>0</v>
      </c>
      <c r="P43" s="19">
        <f>J43-K43</f>
        <v>0</v>
      </c>
      <c r="Q43" s="41"/>
      <c r="R43" s="50"/>
      <c r="S43" s="50"/>
      <c r="T43"/>
      <c r="U43"/>
      <c r="V43"/>
      <c r="W43"/>
      <c r="X43"/>
      <c r="Y43"/>
      <c r="Z43"/>
      <c r="AA43" s="41"/>
    </row>
    <row r="44" spans="1:27">
      <c r="A44" s="43"/>
      <c r="B44" s="43"/>
      <c r="C44" s="44"/>
      <c r="D44" s="44"/>
      <c r="E44" s="44"/>
      <c r="F44" s="45"/>
      <c r="G44" s="44"/>
      <c r="H44" s="46"/>
      <c r="I44" s="46"/>
      <c r="J44" s="44"/>
      <c r="K44" s="44"/>
      <c r="L44" s="44"/>
      <c r="M44" s="44"/>
      <c r="N44" s="44"/>
      <c r="O44" s="44"/>
      <c r="P44" s="44"/>
      <c r="R44" s="50"/>
      <c r="S44" s="50"/>
      <c r="T44"/>
      <c r="U44"/>
      <c r="V44"/>
      <c r="W44"/>
      <c r="X44"/>
      <c r="Y44"/>
      <c r="Z44"/>
      <c r="AA44" s="41"/>
    </row>
    <row r="45" spans="1:27" ht="20.25" customHeight="1">
      <c r="A45" s="15" t="s">
        <v>149</v>
      </c>
      <c r="B45" s="15" t="s">
        <v>117</v>
      </c>
      <c r="C45" s="6"/>
      <c r="D45" s="3">
        <v>1.08</v>
      </c>
      <c r="E45" s="7">
        <f t="shared" ref="E45:E60" si="13">C45*D45</f>
        <v>0</v>
      </c>
      <c r="F45" s="19"/>
      <c r="G45" s="3">
        <v>350</v>
      </c>
      <c r="H45" s="3"/>
      <c r="I45" s="3"/>
      <c r="J45" s="6">
        <f>IF($A45="","",SUMIF('SD058'!$A:$A,"*"&amp;$A45&amp;"*",'SD058'!$B:$B))</f>
        <v>0</v>
      </c>
      <c r="K45" s="6">
        <f>IF($A45="","",SUMIF('PP055-MO'!$A:$A,"*"&amp;$A45&amp;"*",'PP055-MO'!$B:$B))</f>
        <v>0</v>
      </c>
      <c r="L45" s="6">
        <f>IF($A45="","",SUMIF('PP055-MO'!$A:$A,"*"&amp;$A45&amp;"*",'PP055-MO'!$C:$C))</f>
        <v>0</v>
      </c>
      <c r="M45" s="6">
        <f>IF($A45="","",SUMIF('PP055-OW'!$A:$A,"*"&amp;$A45&amp;"*",'PP055-OW'!$B:$B))</f>
        <v>0</v>
      </c>
      <c r="N45" s="10" t="str">
        <f t="shared" ref="N45:N91" si="14">IFERROR(M45/(G45*H45),"")</f>
        <v/>
      </c>
      <c r="O45" s="19">
        <f>IF($A45="","",SUMIF('WM014'!$A:$A,"*"&amp;$A45&amp;"*",'WM014'!$B:$B))</f>
        <v>0</v>
      </c>
      <c r="P45" s="19">
        <f>J45-K45</f>
        <v>0</v>
      </c>
      <c r="Q45" s="41"/>
      <c r="S45" s="50"/>
      <c r="T45"/>
      <c r="U45"/>
      <c r="V45"/>
      <c r="W45"/>
      <c r="X45"/>
      <c r="Y45"/>
      <c r="Z45"/>
      <c r="AA45" s="41"/>
    </row>
    <row r="46" spans="1:27" ht="20.25" customHeight="1">
      <c r="A46" s="15" t="s">
        <v>48</v>
      </c>
      <c r="B46" s="15" t="s">
        <v>117</v>
      </c>
      <c r="C46" s="6"/>
      <c r="D46" s="3">
        <v>1.08</v>
      </c>
      <c r="E46" s="7">
        <f t="shared" si="13"/>
        <v>0</v>
      </c>
      <c r="F46" s="19"/>
      <c r="G46" s="3">
        <v>350</v>
      </c>
      <c r="H46" s="3">
        <v>3</v>
      </c>
      <c r="I46" s="3">
        <v>0</v>
      </c>
      <c r="J46" s="6">
        <f>IF($A46="","",SUMIF('SD058'!$A:$A,"*"&amp;$A46&amp;"*",'SD058'!$B:$B))</f>
        <v>0</v>
      </c>
      <c r="K46" s="6">
        <f>IF($A46="","",SUMIF('PP055-MO'!$A:$A,"*"&amp;$A46&amp;"*",'PP055-MO'!$B:$B))</f>
        <v>0</v>
      </c>
      <c r="L46" s="6">
        <f>IF($A46="","",SUMIF('PP055-MO'!$A:$A,"*"&amp;$A46&amp;"*",'PP055-MO'!$C:$C))</f>
        <v>0</v>
      </c>
      <c r="M46" s="6">
        <f>IF($A46="","",SUMIF('PP055-OW'!$A:$A,"*"&amp;$A46&amp;"*",'PP055-OW'!$B:$B))</f>
        <v>0</v>
      </c>
      <c r="N46" s="10">
        <f t="shared" si="14"/>
        <v>0</v>
      </c>
      <c r="O46" s="19">
        <f>IF($A46="","",SUMIF('WM014'!$A:$A,"*"&amp;$A46&amp;"*",'WM014'!$B:$B))</f>
        <v>0</v>
      </c>
      <c r="P46" s="19">
        <f t="shared" ref="P46:P56" si="15">J46-K46</f>
        <v>0</v>
      </c>
      <c r="Q46" s="41"/>
      <c r="S46"/>
      <c r="T46"/>
      <c r="U46"/>
      <c r="V46"/>
      <c r="W46"/>
      <c r="X46"/>
      <c r="Y46"/>
      <c r="Z46"/>
      <c r="AA46" s="41"/>
    </row>
    <row r="47" spans="1:27">
      <c r="A47" s="15" t="s">
        <v>53</v>
      </c>
      <c r="B47" s="15" t="s">
        <v>117</v>
      </c>
      <c r="C47" s="6"/>
      <c r="D47" s="3">
        <v>1.08</v>
      </c>
      <c r="E47" s="7">
        <f t="shared" si="13"/>
        <v>0</v>
      </c>
      <c r="F47" s="19"/>
      <c r="G47" s="3">
        <v>350</v>
      </c>
      <c r="H47" s="3">
        <v>1</v>
      </c>
      <c r="I47" s="3">
        <v>1</v>
      </c>
      <c r="J47" s="6">
        <f>IF($A47="","",SUMIF('SD058'!$A:$A,"*"&amp;$A47&amp;"*",'SD058'!$B:$B))</f>
        <v>0</v>
      </c>
      <c r="K47" s="6">
        <f>IF($A47="","",SUMIF('PP055-MO'!$A:$A,"*"&amp;$A47&amp;"*",'PP055-MO'!$B:$B))</f>
        <v>0</v>
      </c>
      <c r="L47" s="6">
        <f>IF($A47="","",SUMIF('PP055-MO'!$A:$A,"*"&amp;$A47&amp;"*",'PP055-MO'!$C:$C))</f>
        <v>0</v>
      </c>
      <c r="M47" s="6">
        <f>IF($A47="","",SUMIF('PP055-OW'!$A:$A,"*"&amp;$A47&amp;"*",'PP055-OW'!$B:$B))</f>
        <v>0</v>
      </c>
      <c r="N47" s="10">
        <f t="shared" si="14"/>
        <v>0</v>
      </c>
      <c r="O47" s="19">
        <f>IF($A47="","",SUMIF('WM014'!$A:$A,"*"&amp;$A47&amp;"*",'WM014'!$B:$B))</f>
        <v>0</v>
      </c>
      <c r="P47" s="19">
        <f t="shared" si="15"/>
        <v>0</v>
      </c>
      <c r="Q47" s="41"/>
      <c r="R47" s="50"/>
      <c r="S47"/>
      <c r="T47"/>
      <c r="U47"/>
      <c r="V47"/>
      <c r="W47"/>
      <c r="X47"/>
      <c r="Y47"/>
      <c r="Z47"/>
      <c r="AA47" s="41"/>
    </row>
    <row r="48" spans="1:27">
      <c r="A48" s="15" t="s">
        <v>183</v>
      </c>
      <c r="B48" s="15" t="s">
        <v>117</v>
      </c>
      <c r="C48" s="6"/>
      <c r="D48" s="3">
        <v>1.08</v>
      </c>
      <c r="E48" s="7">
        <f t="shared" si="13"/>
        <v>0</v>
      </c>
      <c r="F48" s="19"/>
      <c r="G48" s="3">
        <v>180</v>
      </c>
      <c r="H48" s="3"/>
      <c r="I48" s="3"/>
      <c r="J48" s="6">
        <f>IF($A48="","",SUMIF('SD058'!$A:$A,"*"&amp;$A48&amp;"*",'SD058'!$B:$B))</f>
        <v>0</v>
      </c>
      <c r="K48" s="6">
        <f>IF($A48="","",SUMIF('PP055-MO'!$A:$A,"*"&amp;$A48&amp;"*",'PP055-MO'!$B:$B))</f>
        <v>0</v>
      </c>
      <c r="L48" s="6">
        <f>IF($A48="","",SUMIF('PP055-MO'!$A:$A,"*"&amp;$A48&amp;"*",'PP055-MO'!$C:$C))</f>
        <v>0</v>
      </c>
      <c r="M48" s="6">
        <f>IF($A48="","",SUMIF('PP055-OW'!$A:$A,"*"&amp;$A48&amp;"*",'PP055-OW'!$B:$B))</f>
        <v>0</v>
      </c>
      <c r="N48" s="10" t="str">
        <f t="shared" si="14"/>
        <v/>
      </c>
      <c r="O48" s="19">
        <f>IF($A48="","",SUMIF('WM014'!$A:$A,"*"&amp;$A48&amp;"*",'WM014'!$B:$B))</f>
        <v>0</v>
      </c>
      <c r="P48" s="19">
        <f>J48-K48</f>
        <v>0</v>
      </c>
      <c r="Q48" s="41"/>
      <c r="R48"/>
      <c r="S48"/>
      <c r="T48"/>
      <c r="U48"/>
      <c r="V48"/>
      <c r="W48"/>
      <c r="X48"/>
      <c r="Y48"/>
      <c r="Z48"/>
      <c r="AA48" s="41"/>
    </row>
    <row r="49" spans="1:27">
      <c r="A49" s="15" t="s">
        <v>181</v>
      </c>
      <c r="B49" s="15" t="s">
        <v>117</v>
      </c>
      <c r="C49" s="6"/>
      <c r="D49" s="3">
        <v>1.08</v>
      </c>
      <c r="E49" s="7"/>
      <c r="F49" s="19"/>
      <c r="G49" s="3">
        <v>280</v>
      </c>
      <c r="H49" s="3"/>
      <c r="I49" s="3"/>
      <c r="J49" s="6">
        <f>IF($A49="","",SUMIF('SD058'!$A:$A,"*"&amp;$A49&amp;"*",'SD058'!$B:$B))</f>
        <v>0</v>
      </c>
      <c r="K49" s="6">
        <f>IF($A49="","",SUMIF('PP055-MO'!$A:$A,"*"&amp;$A49&amp;"*",'PP055-MO'!$B:$B))</f>
        <v>0</v>
      </c>
      <c r="L49" s="6">
        <f>IF($A49="","",SUMIF('PP055-MO'!$A:$A,"*"&amp;$A49&amp;"*",'PP055-MO'!$C:$C))</f>
        <v>0</v>
      </c>
      <c r="M49" s="6">
        <f>IF($A49="","",SUMIF('PP055-OW'!$A:$A,"*"&amp;$A49&amp;"*",'PP055-OW'!$B:$B))</f>
        <v>0</v>
      </c>
      <c r="N49" s="10" t="str">
        <f t="shared" si="14"/>
        <v/>
      </c>
      <c r="O49" s="19">
        <f>IF($A49="","",SUMIF('WM014'!$A:$A,"*"&amp;$A49&amp;"*",'WM014'!$B:$B))</f>
        <v>0</v>
      </c>
      <c r="P49" s="19">
        <f>J49-K49</f>
        <v>0</v>
      </c>
      <c r="Q49" s="41"/>
      <c r="R49"/>
      <c r="S49" s="50" t="s">
        <v>199</v>
      </c>
      <c r="T49"/>
      <c r="U49"/>
      <c r="V49"/>
      <c r="W49" s="50"/>
      <c r="X49" s="50"/>
      <c r="Y49"/>
      <c r="Z49"/>
      <c r="AA49" s="41"/>
    </row>
    <row r="50" spans="1:27">
      <c r="A50" s="15" t="s">
        <v>51</v>
      </c>
      <c r="B50" s="15" t="s">
        <v>117</v>
      </c>
      <c r="C50" s="6"/>
      <c r="D50" s="3">
        <v>1.1000000000000001</v>
      </c>
      <c r="E50" s="7">
        <f t="shared" si="13"/>
        <v>0</v>
      </c>
      <c r="F50" s="19"/>
      <c r="G50" s="3">
        <v>250</v>
      </c>
      <c r="H50" s="3"/>
      <c r="I50" s="3"/>
      <c r="J50" s="6">
        <f>IF($A50="","",SUMIF('SD058'!$A:$A,"*"&amp;$A50&amp;"*",'SD058'!$B:$B))</f>
        <v>0</v>
      </c>
      <c r="K50" s="6">
        <f>IF($A50="","",SUMIF('PP055-MO'!$A:$A,"*"&amp;$A50&amp;"*",'PP055-MO'!$B:$B))</f>
        <v>0</v>
      </c>
      <c r="L50" s="6">
        <f>IF($A50="","",SUMIF('PP055-MO'!$A:$A,"*"&amp;$A50&amp;"*",'PP055-MO'!$C:$C))</f>
        <v>0</v>
      </c>
      <c r="M50" s="6">
        <f>IF($A50="","",SUMIF('PP055-OW'!$A:$A,"*"&amp;$A50&amp;"*",'PP055-OW'!$B:$B))</f>
        <v>0</v>
      </c>
      <c r="N50" s="10" t="str">
        <f t="shared" si="14"/>
        <v/>
      </c>
      <c r="O50" s="19">
        <f>IF($A50="","",SUMIF('WM014'!$A:$A,"*"&amp;$A50&amp;"*",'WM014'!$B:$B))</f>
        <v>0</v>
      </c>
      <c r="P50" s="19">
        <f t="shared" si="15"/>
        <v>0</v>
      </c>
      <c r="Q50" s="41"/>
      <c r="R50"/>
      <c r="S50" s="50"/>
      <c r="T50"/>
      <c r="U50"/>
      <c r="V50"/>
      <c r="W50" s="50"/>
      <c r="X50" s="50"/>
      <c r="Y50"/>
      <c r="Z50"/>
      <c r="AA50" s="41"/>
    </row>
    <row r="51" spans="1:27" ht="19.5" customHeight="1">
      <c r="A51" s="15" t="s">
        <v>49</v>
      </c>
      <c r="B51" s="15" t="s">
        <v>117</v>
      </c>
      <c r="C51" s="6"/>
      <c r="D51" s="3">
        <v>1.1000000000000001</v>
      </c>
      <c r="E51" s="7">
        <f t="shared" si="13"/>
        <v>0</v>
      </c>
      <c r="F51" s="19"/>
      <c r="G51" s="3">
        <v>280</v>
      </c>
      <c r="H51" s="3">
        <v>2</v>
      </c>
      <c r="I51" s="3">
        <v>2</v>
      </c>
      <c r="J51" s="6">
        <f>IF($A51="","",SUMIF('SD058'!$A:$A,"*"&amp;$A51&amp;"*",'SD058'!$B:$B))</f>
        <v>0</v>
      </c>
      <c r="K51" s="6">
        <f>IF($A51="","",SUMIF('PP055-MO'!$A:$A,"*"&amp;$A51&amp;"*",'PP055-MO'!$B:$B))</f>
        <v>0</v>
      </c>
      <c r="L51" s="6">
        <f>IF($A51="","",SUMIF('PP055-MO'!$A:$A,"*"&amp;$A51&amp;"*",'PP055-MO'!$C:$C))</f>
        <v>0</v>
      </c>
      <c r="M51" s="6">
        <f>IF($A51="","",SUMIF('PP055-OW'!$A:$A,"*"&amp;$A51&amp;"*",'PP055-OW'!$B:$B))</f>
        <v>0</v>
      </c>
      <c r="N51" s="10">
        <f t="shared" si="14"/>
        <v>0</v>
      </c>
      <c r="O51" s="19">
        <f>IF($A51="","",SUMIF('WM014'!$A:$A,"*"&amp;$A51&amp;"*",'WM014'!$B:$B))</f>
        <v>0</v>
      </c>
      <c r="P51" s="19">
        <f t="shared" si="15"/>
        <v>0</v>
      </c>
      <c r="Q51" s="41"/>
      <c r="R51" s="50"/>
      <c r="S51" s="50"/>
      <c r="T51"/>
      <c r="U51"/>
      <c r="V51"/>
      <c r="W51" s="50"/>
      <c r="X51" s="50"/>
      <c r="Y51"/>
      <c r="Z51"/>
      <c r="AA51" s="41"/>
    </row>
    <row r="52" spans="1:27">
      <c r="A52" s="15" t="s">
        <v>50</v>
      </c>
      <c r="B52" s="15" t="s">
        <v>117</v>
      </c>
      <c r="C52" s="6"/>
      <c r="D52" s="3">
        <v>1.1000000000000001</v>
      </c>
      <c r="E52" s="7">
        <f t="shared" si="13"/>
        <v>0</v>
      </c>
      <c r="F52" s="19"/>
      <c r="G52" s="3">
        <v>250</v>
      </c>
      <c r="H52" s="3"/>
      <c r="I52" s="3"/>
      <c r="J52" s="6">
        <f>IF($A52="","",SUMIF('SD058'!$A:$A,"*"&amp;$A52&amp;"*",'SD058'!$B:$B))</f>
        <v>0</v>
      </c>
      <c r="K52" s="6">
        <f>IF($A52="","",SUMIF('PP055-MO'!$A:$A,"*"&amp;$A52&amp;"*",'PP055-MO'!$B:$B))</f>
        <v>0</v>
      </c>
      <c r="L52" s="6">
        <f>IF($A52="","",SUMIF('PP055-MO'!$A:$A,"*"&amp;$A52&amp;"*",'PP055-MO'!$C:$C))</f>
        <v>0</v>
      </c>
      <c r="M52" s="6">
        <f>IF($A52="","",SUMIF('PP055-OW'!$A:$A,"*"&amp;$A52&amp;"*",'PP055-OW'!$B:$B))</f>
        <v>0</v>
      </c>
      <c r="N52" s="10" t="str">
        <f t="shared" si="14"/>
        <v/>
      </c>
      <c r="O52" s="19">
        <f>IF($A52="","",SUMIF('WM014'!$A:$A,"*"&amp;$A52&amp;"*",'WM014'!$B:$B))</f>
        <v>0</v>
      </c>
      <c r="P52" s="19">
        <f t="shared" si="15"/>
        <v>0</v>
      </c>
      <c r="Q52" s="41"/>
      <c r="R52" s="50"/>
      <c r="S52" s="50"/>
      <c r="T52"/>
      <c r="U52"/>
      <c r="V52"/>
      <c r="W52" s="50"/>
      <c r="X52" s="50"/>
      <c r="Y52"/>
      <c r="Z52"/>
      <c r="AA52" s="41"/>
    </row>
    <row r="53" spans="1:27">
      <c r="A53" s="15" t="s">
        <v>161</v>
      </c>
      <c r="B53" s="15" t="s">
        <v>117</v>
      </c>
      <c r="C53" s="6"/>
      <c r="D53" s="3">
        <v>1.1000000000000001</v>
      </c>
      <c r="E53" s="7">
        <f t="shared" si="13"/>
        <v>0</v>
      </c>
      <c r="F53" s="19"/>
      <c r="G53" s="3">
        <v>280</v>
      </c>
      <c r="H53" s="3"/>
      <c r="I53" s="3"/>
      <c r="J53" s="6">
        <f>IF($A53="","",SUMIF('SD058'!$A:$A,"*"&amp;$A53&amp;"*",'SD058'!$B:$B))</f>
        <v>0</v>
      </c>
      <c r="K53" s="6">
        <f>IF($A53="","",SUMIF('PP055-MO'!$A:$A,"*"&amp;$A53&amp;"*",'PP055-MO'!$B:$B))</f>
        <v>0</v>
      </c>
      <c r="L53" s="6">
        <f>IF($A53="","",SUMIF('PP055-MO'!$A:$A,"*"&amp;$A53&amp;"*",'PP055-MO'!$C:$C))</f>
        <v>0</v>
      </c>
      <c r="M53" s="6">
        <f>IF($A53="","",SUMIF('PP055-OW'!$A:$A,"*"&amp;$A53&amp;"*",'PP055-OW'!$B:$B))</f>
        <v>0</v>
      </c>
      <c r="N53" s="10" t="str">
        <f t="shared" si="14"/>
        <v/>
      </c>
      <c r="O53" s="19">
        <f>IF($A53="","",SUMIF('WM014'!$A:$A,"*"&amp;$A53&amp;"*",'WM014'!$B:$B))</f>
        <v>0</v>
      </c>
      <c r="P53" s="19">
        <f>J53-K53</f>
        <v>0</v>
      </c>
      <c r="Q53" s="41"/>
      <c r="R53" s="50"/>
      <c r="S53" s="50"/>
      <c r="T53"/>
      <c r="U53"/>
      <c r="V53"/>
      <c r="W53" s="50"/>
      <c r="X53" s="50"/>
      <c r="Y53"/>
      <c r="Z53"/>
      <c r="AA53" s="41"/>
    </row>
    <row r="54" spans="1:27">
      <c r="A54" s="15" t="s">
        <v>162</v>
      </c>
      <c r="B54" s="15" t="s">
        <v>117</v>
      </c>
      <c r="C54" s="6"/>
      <c r="D54" s="3">
        <v>1.1000000000000001</v>
      </c>
      <c r="E54" s="7">
        <f t="shared" si="13"/>
        <v>0</v>
      </c>
      <c r="F54" s="19"/>
      <c r="G54" s="3">
        <v>250</v>
      </c>
      <c r="H54" s="3"/>
      <c r="I54" s="3"/>
      <c r="J54" s="6">
        <f>IF($A54="","",SUMIF('SD058'!$A:$A,"*"&amp;$A54&amp;"*",'SD058'!$B:$B))</f>
        <v>0</v>
      </c>
      <c r="K54" s="6">
        <f>IF($A54="","",SUMIF('PP055-MO'!$A:$A,"*"&amp;$A54&amp;"*",'PP055-MO'!$B:$B))</f>
        <v>0</v>
      </c>
      <c r="L54" s="6">
        <f>IF($A54="","",SUMIF('PP055-MO'!$A:$A,"*"&amp;$A54&amp;"*",'PP055-MO'!$C:$C))</f>
        <v>0</v>
      </c>
      <c r="M54" s="6">
        <f>IF($A54="","",SUMIF('PP055-OW'!$A:$A,"*"&amp;$A54&amp;"*",'PP055-OW'!$B:$B))</f>
        <v>0</v>
      </c>
      <c r="N54" s="10" t="str">
        <f t="shared" si="14"/>
        <v/>
      </c>
      <c r="O54" s="19">
        <f>IF($A54="","",SUMIF('WM014'!$A:$A,"*"&amp;$A54&amp;"*",'WM014'!$B:$B))</f>
        <v>0</v>
      </c>
      <c r="P54" s="19">
        <f>J54-K54</f>
        <v>0</v>
      </c>
      <c r="Q54" s="41"/>
      <c r="R54" s="50"/>
      <c r="S54" s="50"/>
      <c r="T54"/>
      <c r="U54"/>
      <c r="V54"/>
      <c r="W54" s="50"/>
      <c r="X54" s="50"/>
      <c r="Y54"/>
      <c r="Z54"/>
      <c r="AA54" s="41"/>
    </row>
    <row r="55" spans="1:27">
      <c r="A55" s="15" t="s">
        <v>130</v>
      </c>
      <c r="B55" s="15" t="s">
        <v>117</v>
      </c>
      <c r="C55" s="6"/>
      <c r="D55" s="3">
        <v>1.1000000000000001</v>
      </c>
      <c r="E55" s="7">
        <f>C55*D55</f>
        <v>0</v>
      </c>
      <c r="F55" s="19"/>
      <c r="G55" s="3">
        <v>280</v>
      </c>
      <c r="H55" s="3"/>
      <c r="I55" s="3"/>
      <c r="J55" s="6">
        <f>IF($A55="","",SUMIF('SD058'!$A:$A,"*"&amp;$A55&amp;"*",'SD058'!$B:$B))</f>
        <v>0</v>
      </c>
      <c r="K55" s="6">
        <f>IF($A55="","",SUMIF('PP055-MO'!$A:$A,"*"&amp;$A55&amp;"*",'PP055-MO'!$B:$B))</f>
        <v>0</v>
      </c>
      <c r="L55" s="6">
        <f>IF($A55="","",SUMIF('PP055-MO'!$A:$A,"*"&amp;$A55&amp;"*",'PP055-MO'!$C:$C))</f>
        <v>0</v>
      </c>
      <c r="M55" s="6">
        <f>IF($A55="","",SUMIF('PP055-OW'!$A:$A,"*"&amp;$A55&amp;"*",'PP055-OW'!$B:$B))</f>
        <v>0</v>
      </c>
      <c r="N55" s="10" t="str">
        <f t="shared" si="14"/>
        <v/>
      </c>
      <c r="O55" s="19">
        <f>IF($A55="","",SUMIF('WM014'!$A:$A,"*"&amp;$A55&amp;"*",'WM014'!$B:$B))</f>
        <v>0</v>
      </c>
      <c r="P55" s="19">
        <f>J55-K55</f>
        <v>0</v>
      </c>
      <c r="Q55" s="41"/>
      <c r="R55" s="50"/>
      <c r="S55" s="50"/>
      <c r="T55"/>
      <c r="U55"/>
      <c r="V55"/>
      <c r="W55"/>
      <c r="X55"/>
      <c r="Y55"/>
      <c r="Z55"/>
      <c r="AA55" s="41"/>
    </row>
    <row r="56" spans="1:27">
      <c r="A56" s="15" t="s">
        <v>107</v>
      </c>
      <c r="B56" s="15" t="s">
        <v>117</v>
      </c>
      <c r="C56" s="6"/>
      <c r="D56" s="3">
        <v>1.1000000000000001</v>
      </c>
      <c r="E56" s="7">
        <f t="shared" si="13"/>
        <v>0</v>
      </c>
      <c r="F56" s="19"/>
      <c r="G56" s="3">
        <v>280</v>
      </c>
      <c r="H56" s="3"/>
      <c r="I56" s="3"/>
      <c r="J56" s="6">
        <f>IF($A56="","",SUMIF('SD058'!$A:$A,"*"&amp;$A56&amp;"*",'SD058'!$B:$B))</f>
        <v>0</v>
      </c>
      <c r="K56" s="6">
        <f>IF($A56="","",SUMIF('PP055-MO'!$A:$A,"*"&amp;$A56&amp;"*",'PP055-MO'!$B:$B))</f>
        <v>0</v>
      </c>
      <c r="L56" s="6">
        <f>IF($A56="","",SUMIF('PP055-MO'!$A:$A,"*"&amp;$A56&amp;"*",'PP055-MO'!$C:$C))</f>
        <v>0</v>
      </c>
      <c r="M56" s="6">
        <f>IF($A56="","",SUMIF('PP055-OW'!$A:$A,"*"&amp;$A56&amp;"*",'PP055-OW'!$B:$B))</f>
        <v>0</v>
      </c>
      <c r="N56" s="10" t="str">
        <f t="shared" si="14"/>
        <v/>
      </c>
      <c r="O56" s="19">
        <f>IF($A56="","",SUMIF('WM014'!$A:$A,"*"&amp;$A56&amp;"*",'WM014'!$B:$B))</f>
        <v>0</v>
      </c>
      <c r="P56" s="19">
        <f t="shared" si="15"/>
        <v>0</v>
      </c>
      <c r="Q56" s="41"/>
      <c r="R56" s="50"/>
      <c r="S56" s="50"/>
      <c r="T56"/>
      <c r="U56"/>
      <c r="V56"/>
      <c r="W56" s="50"/>
      <c r="X56" s="50"/>
      <c r="Y56"/>
      <c r="Z56"/>
      <c r="AA56" s="41"/>
    </row>
    <row r="57" spans="1:27" ht="19.5" customHeight="1">
      <c r="A57" s="15" t="s">
        <v>129</v>
      </c>
      <c r="B57" s="15" t="s">
        <v>117</v>
      </c>
      <c r="C57" s="6"/>
      <c r="D57" s="3">
        <v>1.1000000000000001</v>
      </c>
      <c r="E57" s="7">
        <f t="shared" si="13"/>
        <v>0</v>
      </c>
      <c r="F57" s="19"/>
      <c r="G57" s="3">
        <v>380</v>
      </c>
      <c r="H57" s="3"/>
      <c r="I57" s="3"/>
      <c r="J57" s="6">
        <f>IF($A57="","",SUMIF('SD058'!$A:$A,"*"&amp;$A57&amp;"*",'SD058'!$B:$B))</f>
        <v>0</v>
      </c>
      <c r="K57" s="6">
        <f>IF($A57="","",SUMIF('PP055-MO'!$A:$A,"*"&amp;$A57&amp;"*",'PP055-MO'!$B:$B))</f>
        <v>0</v>
      </c>
      <c r="L57" s="6">
        <f>IF($A57="","",SUMIF('PP055-MO'!$A:$A,"*"&amp;$A57&amp;"*",'PP055-MO'!$C:$C))</f>
        <v>0</v>
      </c>
      <c r="M57" s="6">
        <f>IF($A57="","",SUMIF('PP055-OW'!$A:$A,"*"&amp;$A57&amp;"*",'PP055-OW'!$B:$B))</f>
        <v>0</v>
      </c>
      <c r="N57" s="10" t="str">
        <f t="shared" si="14"/>
        <v/>
      </c>
      <c r="O57" s="19">
        <f>IF($A57="","",SUMIF('WM014'!$A:$A,"*"&amp;$A57&amp;"*",'WM014'!$B:$B))</f>
        <v>0</v>
      </c>
      <c r="P57" s="19">
        <f t="shared" ref="P57:P91" si="16">J57-K57</f>
        <v>0</v>
      </c>
      <c r="Q57" s="41"/>
      <c r="R57" s="50"/>
      <c r="S57" s="50"/>
      <c r="T57"/>
      <c r="U57"/>
      <c r="V57"/>
      <c r="W57"/>
      <c r="X57"/>
      <c r="Y57"/>
      <c r="Z57"/>
      <c r="AA57" s="41"/>
    </row>
    <row r="58" spans="1:27" ht="19.5" customHeight="1">
      <c r="A58" s="15" t="s">
        <v>131</v>
      </c>
      <c r="B58" s="15" t="s">
        <v>117</v>
      </c>
      <c r="C58" s="6"/>
      <c r="D58" s="3">
        <v>1.1000000000000001</v>
      </c>
      <c r="E58" s="7">
        <f t="shared" si="13"/>
        <v>0</v>
      </c>
      <c r="F58" s="19"/>
      <c r="G58" s="3">
        <v>280</v>
      </c>
      <c r="H58" s="3"/>
      <c r="I58" s="3"/>
      <c r="J58" s="6">
        <f>IF($A58="","",SUMIF('SD058'!$A:$A,"*"&amp;$A58&amp;"*",'SD058'!$B:$B))</f>
        <v>0</v>
      </c>
      <c r="K58" s="6">
        <f>IF($A58="","",SUMIF('PP055-MO'!$A:$A,"*"&amp;$A58&amp;"*",'PP055-MO'!$B:$B))</f>
        <v>0</v>
      </c>
      <c r="L58" s="6">
        <f>IF($A58="","",SUMIF('PP055-MO'!$A:$A,"*"&amp;$A58&amp;"*",'PP055-MO'!$C:$C))</f>
        <v>0</v>
      </c>
      <c r="M58" s="6">
        <f>IF($A58="","",SUMIF('PP055-OW'!$A:$A,"*"&amp;$A58&amp;"*",'PP055-OW'!$B:$B))</f>
        <v>0</v>
      </c>
      <c r="N58" s="10" t="str">
        <f t="shared" si="14"/>
        <v/>
      </c>
      <c r="O58" s="19">
        <f>IF($A58="","",SUMIF('WM014'!$A:$A,"*"&amp;$A58&amp;"*",'WM014'!$B:$B))</f>
        <v>0</v>
      </c>
      <c r="P58" s="19">
        <f t="shared" si="16"/>
        <v>0</v>
      </c>
      <c r="Q58" s="41"/>
      <c r="R58" s="50"/>
      <c r="S58" s="50"/>
      <c r="T58"/>
      <c r="U58"/>
      <c r="V58"/>
      <c r="W58"/>
      <c r="X58"/>
      <c r="Y58"/>
      <c r="Z58"/>
      <c r="AA58" s="41"/>
    </row>
    <row r="59" spans="1:27">
      <c r="A59" s="15" t="s">
        <v>151</v>
      </c>
      <c r="B59" s="15" t="s">
        <v>117</v>
      </c>
      <c r="C59" s="6"/>
      <c r="D59" s="3">
        <v>1.1000000000000001</v>
      </c>
      <c r="E59" s="7">
        <f t="shared" si="13"/>
        <v>0</v>
      </c>
      <c r="F59" s="19"/>
      <c r="G59" s="3">
        <v>250</v>
      </c>
      <c r="H59" s="3"/>
      <c r="I59" s="3"/>
      <c r="J59" s="6">
        <f>IF($A59="","",SUMIF('SD058'!$A:$A,"*"&amp;$A59&amp;"*",'SD058'!$B:$B))</f>
        <v>0</v>
      </c>
      <c r="K59" s="6">
        <f>IF($A59="","",SUMIF('PP055-MO'!$A:$A,"*"&amp;$A59&amp;"*",'PP055-MO'!$B:$B))</f>
        <v>0</v>
      </c>
      <c r="L59" s="6">
        <f>IF($A59="","",SUMIF('PP055-MO'!$A:$A,"*"&amp;$A59&amp;"*",'PP055-MO'!$C:$C))</f>
        <v>0</v>
      </c>
      <c r="M59" s="6">
        <f>IF($A59="","",SUMIF('PP055-OW'!$A:$A,"*"&amp;$A59&amp;"*",'PP055-OW'!$B:$B))</f>
        <v>0</v>
      </c>
      <c r="N59" s="10" t="str">
        <f t="shared" si="14"/>
        <v/>
      </c>
      <c r="O59" s="19">
        <f>IF($A59="","",SUMIF('WM014'!$A:$A,"*"&amp;$A59&amp;"*",'WM014'!$B:$B))</f>
        <v>0</v>
      </c>
      <c r="P59" s="19">
        <f t="shared" si="16"/>
        <v>0</v>
      </c>
      <c r="Q59" s="41"/>
      <c r="R59" s="50"/>
      <c r="S59" s="50"/>
      <c r="T59"/>
      <c r="U59"/>
      <c r="V59"/>
      <c r="W59"/>
      <c r="X59"/>
      <c r="Y59"/>
      <c r="Z59"/>
      <c r="AA59" s="41"/>
    </row>
    <row r="60" spans="1:27">
      <c r="A60" s="15" t="s">
        <v>180</v>
      </c>
      <c r="B60" s="15" t="s">
        <v>117</v>
      </c>
      <c r="C60" s="6"/>
      <c r="D60" s="3">
        <v>1.1000000000000001</v>
      </c>
      <c r="E60" s="7">
        <f t="shared" si="13"/>
        <v>0</v>
      </c>
      <c r="F60" s="19"/>
      <c r="G60" s="3">
        <v>270</v>
      </c>
      <c r="H60" s="3">
        <v>5</v>
      </c>
      <c r="I60" s="3">
        <v>0</v>
      </c>
      <c r="J60" s="6">
        <f>IF($A60="","",SUMIF('SD058'!$A:$A,"*"&amp;$A60&amp;"*",'SD058'!$B:$B))</f>
        <v>0</v>
      </c>
      <c r="K60" s="6">
        <f>IF($A60="","",SUMIF('PP055-MO'!$A:$A,"*"&amp;$A60&amp;"*",'PP055-MO'!$B:$B))</f>
        <v>0</v>
      </c>
      <c r="L60" s="6">
        <f>IF($A60="","",SUMIF('PP055-MO'!$A:$A,"*"&amp;$A60&amp;"*",'PP055-MO'!$C:$C))</f>
        <v>0</v>
      </c>
      <c r="M60" s="6">
        <f>IF($A60="","",SUMIF('PP055-OW'!$A:$A,"*"&amp;$A60&amp;"*",'PP055-OW'!$B:$B))</f>
        <v>0</v>
      </c>
      <c r="N60" s="10">
        <f t="shared" si="14"/>
        <v>0</v>
      </c>
      <c r="O60" s="19">
        <f>IF($A60="","",SUMIF('WM014'!$A:$A,"*"&amp;$A60&amp;"*",'WM014'!$B:$B))</f>
        <v>0</v>
      </c>
      <c r="P60" s="19">
        <f t="shared" si="16"/>
        <v>0</v>
      </c>
      <c r="Q60" s="41"/>
      <c r="R60" s="50"/>
      <c r="S60"/>
      <c r="T60"/>
      <c r="U60"/>
      <c r="V60"/>
      <c r="W60"/>
      <c r="X60"/>
      <c r="Y60"/>
      <c r="Z60"/>
      <c r="AA60" s="41"/>
    </row>
    <row r="61" spans="1:27">
      <c r="A61" s="15" t="s">
        <v>56</v>
      </c>
      <c r="B61" s="15" t="s">
        <v>122</v>
      </c>
      <c r="C61" s="6"/>
      <c r="D61" s="3">
        <v>1.1000000000000001</v>
      </c>
      <c r="E61" s="7">
        <f t="shared" ref="E61:E112" si="17">C61*D61</f>
        <v>0</v>
      </c>
      <c r="F61" s="19"/>
      <c r="G61" s="3">
        <v>300</v>
      </c>
      <c r="H61" s="3">
        <v>8</v>
      </c>
      <c r="I61" s="3">
        <v>4</v>
      </c>
      <c r="J61" s="6">
        <f>IF($A61="","",SUMIF('SD058'!$A:$A,"*"&amp;$A61&amp;"*",'SD058'!$B:$B))</f>
        <v>0</v>
      </c>
      <c r="K61" s="6">
        <f>IF($A61="","",SUMIF('PP055-MO'!$A:$A,"*"&amp;$A61&amp;"*",'PP055-MO'!$B:$B))</f>
        <v>0</v>
      </c>
      <c r="L61" s="6">
        <f>IF($A61="","",SUMIF('PP055-MO'!$A:$A,"*"&amp;$A61&amp;"*",'PP055-MO'!$C:$C))</f>
        <v>0</v>
      </c>
      <c r="M61" s="6">
        <f>IF($A61="","",SUMIF('PP055-OW'!$A:$A,"*"&amp;$A61&amp;"*",'PP055-OW'!$B:$B))</f>
        <v>0</v>
      </c>
      <c r="N61" s="10">
        <f t="shared" si="14"/>
        <v>0</v>
      </c>
      <c r="O61" s="19">
        <f>IF($A61="","",SUMIF('WM014'!$A:$A,"*"&amp;$A61&amp;"*",'WM014'!$B:$B))</f>
        <v>0</v>
      </c>
      <c r="P61" s="19">
        <f t="shared" si="16"/>
        <v>0</v>
      </c>
      <c r="Q61" s="41"/>
      <c r="R61"/>
      <c r="S61"/>
      <c r="T61"/>
      <c r="U61"/>
      <c r="V61"/>
      <c r="W61"/>
      <c r="X61"/>
      <c r="Y61"/>
      <c r="Z61"/>
      <c r="AA61" s="41"/>
    </row>
    <row r="62" spans="1:27">
      <c r="A62" s="15" t="s">
        <v>57</v>
      </c>
      <c r="B62" s="15" t="s">
        <v>122</v>
      </c>
      <c r="C62" s="6"/>
      <c r="D62" s="3">
        <v>1.1000000000000001</v>
      </c>
      <c r="E62" s="7">
        <f t="shared" si="17"/>
        <v>0</v>
      </c>
      <c r="F62" s="19"/>
      <c r="G62" s="3">
        <v>280</v>
      </c>
      <c r="H62" s="3">
        <v>2</v>
      </c>
      <c r="I62" s="3">
        <v>2</v>
      </c>
      <c r="J62" s="6">
        <f>IF($A62="","",SUMIF('SD058'!$A:$A,"*"&amp;$A62&amp;"*",'SD058'!$B:$B))</f>
        <v>0</v>
      </c>
      <c r="K62" s="6">
        <f>IF($A62="","",SUMIF('PP055-MO'!$A:$A,"*"&amp;$A62&amp;"*",'PP055-MO'!$B:$B))</f>
        <v>0</v>
      </c>
      <c r="L62" s="6">
        <f>IF($A62="","",SUMIF('PP055-MO'!$A:$A,"*"&amp;$A62&amp;"*",'PP055-MO'!$C:$C))</f>
        <v>0</v>
      </c>
      <c r="M62" s="6">
        <f>IF($A62="","",SUMIF('PP055-OW'!$A:$A,"*"&amp;$A62&amp;"*",'PP055-OW'!$B:$B))</f>
        <v>0</v>
      </c>
      <c r="N62" s="10">
        <f t="shared" si="14"/>
        <v>0</v>
      </c>
      <c r="O62" s="19">
        <f>IF($A62="","",SUMIF('WM014'!$A:$A,"*"&amp;$A62&amp;"*",'WM014'!$B:$B))</f>
        <v>0</v>
      </c>
      <c r="P62" s="19">
        <f t="shared" si="16"/>
        <v>0</v>
      </c>
      <c r="Q62" s="41"/>
      <c r="R62"/>
      <c r="S62"/>
      <c r="T62"/>
      <c r="U62"/>
      <c r="V62"/>
      <c r="W62"/>
      <c r="X62"/>
      <c r="Y62"/>
      <c r="Z62"/>
      <c r="AA62" s="41"/>
    </row>
    <row r="63" spans="1:27">
      <c r="A63" s="15" t="s">
        <v>67</v>
      </c>
      <c r="B63" s="15" t="s">
        <v>122</v>
      </c>
      <c r="C63" s="6"/>
      <c r="D63" s="3">
        <v>1.1000000000000001</v>
      </c>
      <c r="E63" s="7">
        <f t="shared" si="17"/>
        <v>0</v>
      </c>
      <c r="F63" s="19"/>
      <c r="G63" s="3">
        <v>300</v>
      </c>
      <c r="H63" s="3"/>
      <c r="I63" s="3"/>
      <c r="J63" s="6">
        <f>IF($A63="","",SUMIF('SD058'!$A:$A,"*"&amp;$A63&amp;"*",'SD058'!$B:$B))</f>
        <v>0</v>
      </c>
      <c r="K63" s="6">
        <f>IF($A63="","",SUMIF('PP055-MO'!$A:$A,"*"&amp;$A63&amp;"*",'PP055-MO'!$B:$B))</f>
        <v>0</v>
      </c>
      <c r="L63" s="6">
        <f>IF($A63="","",SUMIF('PP055-MO'!$A:$A,"*"&amp;$A63&amp;"*",'PP055-MO'!$C:$C))</f>
        <v>0</v>
      </c>
      <c r="M63" s="6">
        <f>IF($A63="","",SUMIF('PP055-OW'!$A:$A,"*"&amp;$A63&amp;"*",'PP055-OW'!$B:$B))</f>
        <v>0</v>
      </c>
      <c r="N63" s="10" t="str">
        <f t="shared" si="14"/>
        <v/>
      </c>
      <c r="O63" s="19">
        <f>IF($A63="","",SUMIF('WM014'!$A:$A,"*"&amp;$A63&amp;"*",'WM014'!$B:$B))</f>
        <v>0</v>
      </c>
      <c r="P63" s="19">
        <f t="shared" si="16"/>
        <v>0</v>
      </c>
      <c r="Q63" s="41"/>
      <c r="R63"/>
      <c r="S63"/>
      <c r="T63"/>
      <c r="U63"/>
      <c r="V63"/>
      <c r="W63"/>
      <c r="X63"/>
      <c r="Y63"/>
      <c r="Z63"/>
      <c r="AA63" s="41"/>
    </row>
    <row r="64" spans="1:27" ht="21.75" customHeight="1">
      <c r="A64" s="15" t="s">
        <v>144</v>
      </c>
      <c r="B64" s="15" t="s">
        <v>122</v>
      </c>
      <c r="C64" s="6"/>
      <c r="D64" s="3">
        <v>1.1000000000000001</v>
      </c>
      <c r="E64" s="7">
        <f t="shared" si="17"/>
        <v>0</v>
      </c>
      <c r="F64" s="19"/>
      <c r="G64" s="3">
        <v>300</v>
      </c>
      <c r="H64" s="3"/>
      <c r="I64" s="3"/>
      <c r="J64" s="6">
        <f>IF($A64="","",SUMIF('SD058'!$A:$A,"*"&amp;$A64&amp;"*",'SD058'!$B:$B))</f>
        <v>0</v>
      </c>
      <c r="K64" s="6">
        <f>IF($A64="","",SUMIF('PP055-MO'!$A:$A,"*"&amp;$A64&amp;"*",'PP055-MO'!$B:$B))</f>
        <v>0</v>
      </c>
      <c r="L64" s="6">
        <f>IF($A64="","",SUMIF('PP055-MO'!$A:$A,"*"&amp;$A64&amp;"*",'PP055-MO'!$C:$C))</f>
        <v>0</v>
      </c>
      <c r="M64" s="6">
        <f>IF($A64="","",SUMIF('PP055-OW'!$A:$A,"*"&amp;$A64&amp;"*",'PP055-OW'!$B:$B))</f>
        <v>0</v>
      </c>
      <c r="N64" s="10" t="str">
        <f t="shared" si="14"/>
        <v/>
      </c>
      <c r="O64" s="19">
        <f>IF($A64="","",SUMIF('WM014'!$A:$A,"*"&amp;$A64&amp;"*",'WM014'!$B:$B))</f>
        <v>0</v>
      </c>
      <c r="P64" s="19">
        <f t="shared" si="16"/>
        <v>0</v>
      </c>
      <c r="Q64" s="41"/>
      <c r="R64"/>
      <c r="S64"/>
      <c r="T64"/>
      <c r="U64"/>
      <c r="V64"/>
      <c r="W64"/>
      <c r="X64"/>
      <c r="Y64"/>
      <c r="Z64"/>
      <c r="AA64" s="41"/>
    </row>
    <row r="65" spans="1:26">
      <c r="A65" s="15" t="s">
        <v>146</v>
      </c>
      <c r="B65" s="15" t="s">
        <v>122</v>
      </c>
      <c r="C65" s="6"/>
      <c r="D65" s="3">
        <v>1.1000000000000001</v>
      </c>
      <c r="E65" s="7">
        <f t="shared" si="17"/>
        <v>0</v>
      </c>
      <c r="F65" s="19"/>
      <c r="G65" s="3">
        <v>300</v>
      </c>
      <c r="H65" s="3"/>
      <c r="I65" s="3"/>
      <c r="J65" s="6">
        <f>IF($A65="","",SUMIF('SD058'!$A:$A,"*"&amp;$A65&amp;"*",'SD058'!$B:$B))</f>
        <v>0</v>
      </c>
      <c r="K65" s="6">
        <f>IF($A65="","",SUMIF('PP055-MO'!$A:$A,"*"&amp;$A65&amp;"*",'PP055-MO'!$B:$B))</f>
        <v>0</v>
      </c>
      <c r="L65" s="6">
        <f>IF($A65="","",SUMIF('PP055-MO'!$A:$A,"*"&amp;$A65&amp;"*",'PP055-MO'!$C:$C))</f>
        <v>0</v>
      </c>
      <c r="M65" s="6">
        <f>IF($A65="","",SUMIF('PP055-OW'!$A:$A,"*"&amp;$A65&amp;"*",'PP055-OW'!$B:$B))</f>
        <v>0</v>
      </c>
      <c r="N65" s="10" t="str">
        <f t="shared" si="14"/>
        <v/>
      </c>
      <c r="O65" s="19">
        <f>IF($A65="","",SUMIF('WM014'!$A:$A,"*"&amp;$A65&amp;"*",'WM014'!$B:$B))</f>
        <v>0</v>
      </c>
      <c r="P65" s="19">
        <f t="shared" si="16"/>
        <v>0</v>
      </c>
      <c r="Q65" s="41"/>
      <c r="R65"/>
      <c r="S65"/>
      <c r="T65"/>
      <c r="U65"/>
      <c r="V65"/>
      <c r="W65"/>
      <c r="X65"/>
      <c r="Y65"/>
      <c r="Z65"/>
    </row>
    <row r="66" spans="1:26">
      <c r="A66" s="15" t="s">
        <v>160</v>
      </c>
      <c r="B66" s="15" t="s">
        <v>122</v>
      </c>
      <c r="C66" s="6"/>
      <c r="D66" s="3">
        <v>1.1000000000000001</v>
      </c>
      <c r="E66" s="7">
        <f t="shared" si="17"/>
        <v>0</v>
      </c>
      <c r="F66" s="19"/>
      <c r="G66" s="3">
        <v>300</v>
      </c>
      <c r="H66" s="3"/>
      <c r="I66" s="3"/>
      <c r="J66" s="6">
        <f>IF($A66="","",SUMIF('SD058'!$A:$A,"*"&amp;$A66&amp;"*",'SD058'!$B:$B))</f>
        <v>0</v>
      </c>
      <c r="K66" s="6">
        <f>IF($A66="","",SUMIF('PP055-MO'!$A:$A,"*"&amp;$A66&amp;"*",'PP055-MO'!$B:$B))</f>
        <v>0</v>
      </c>
      <c r="L66" s="6">
        <f>IF($A66="","",SUMIF('PP055-MO'!$A:$A,"*"&amp;$A66&amp;"*",'PP055-MO'!$C:$C))</f>
        <v>0</v>
      </c>
      <c r="M66" s="6">
        <f>IF($A66="","",SUMIF('PP055-OW'!$A:$A,"*"&amp;$A66&amp;"*",'PP055-OW'!$B:$B))</f>
        <v>0</v>
      </c>
      <c r="N66" s="10" t="str">
        <f t="shared" si="14"/>
        <v/>
      </c>
      <c r="O66" s="19">
        <f>IF($A66="","",SUMIF('WM014'!$A:$A,"*"&amp;$A66&amp;"*",'WM014'!$B:$B))</f>
        <v>0</v>
      </c>
      <c r="P66" s="19">
        <f t="shared" si="16"/>
        <v>0</v>
      </c>
      <c r="Q66" s="41"/>
      <c r="R66"/>
      <c r="S66"/>
      <c r="T66"/>
      <c r="U66"/>
      <c r="V66"/>
      <c r="W66"/>
      <c r="X66"/>
      <c r="Y66"/>
      <c r="Z66"/>
    </row>
    <row r="67" spans="1:26">
      <c r="A67" s="15" t="s">
        <v>217</v>
      </c>
      <c r="B67" s="15" t="s">
        <v>122</v>
      </c>
      <c r="C67" s="6"/>
      <c r="D67" s="3">
        <v>1.1000000000000001</v>
      </c>
      <c r="E67" s="7">
        <f t="shared" si="17"/>
        <v>0</v>
      </c>
      <c r="F67" s="19"/>
      <c r="G67" s="3">
        <v>280</v>
      </c>
      <c r="H67" s="3">
        <v>1</v>
      </c>
      <c r="I67" s="3">
        <v>0</v>
      </c>
      <c r="J67" s="6">
        <f>IF($A67="","",SUMIF('SD058'!$A:$A,"*"&amp;$A67&amp;"*",'SD058'!$B:$B))</f>
        <v>0</v>
      </c>
      <c r="K67" s="6">
        <f>IF($A67="","",SUMIF('PP055-MO'!$A:$A,"*"&amp;$A67&amp;"*",'PP055-MO'!$B:$B))</f>
        <v>0</v>
      </c>
      <c r="L67" s="6">
        <f>IF($A67="","",SUMIF('PP055-MO'!$A:$A,"*"&amp;$A67&amp;"*",'PP055-MO'!$C:$C))</f>
        <v>0</v>
      </c>
      <c r="M67" s="6">
        <f>IF($A67="","",SUMIF('PP055-OW'!$A:$A,"*"&amp;$A67&amp;"*",'PP055-OW'!$B:$B))</f>
        <v>0</v>
      </c>
      <c r="N67" s="10">
        <f t="shared" si="14"/>
        <v>0</v>
      </c>
      <c r="O67" s="19"/>
      <c r="P67" s="19">
        <f t="shared" si="16"/>
        <v>0</v>
      </c>
      <c r="Q67" s="41"/>
      <c r="R67"/>
      <c r="S67" s="41"/>
      <c r="T67" s="41"/>
      <c r="U67" s="41"/>
      <c r="V67" s="41"/>
      <c r="W67" s="41"/>
      <c r="X67" s="41"/>
      <c r="Y67" s="41"/>
    </row>
    <row r="68" spans="1:26">
      <c r="A68" s="15" t="s">
        <v>164</v>
      </c>
      <c r="B68" s="15" t="s">
        <v>116</v>
      </c>
      <c r="C68" s="6"/>
      <c r="D68" s="3">
        <v>1.1000000000000001</v>
      </c>
      <c r="E68" s="7">
        <f t="shared" si="17"/>
        <v>0</v>
      </c>
      <c r="F68" s="19"/>
      <c r="G68" s="3">
        <v>280</v>
      </c>
      <c r="H68" s="3">
        <v>2</v>
      </c>
      <c r="I68" s="3">
        <v>0</v>
      </c>
      <c r="J68" s="6">
        <f>IF($A68="","",SUMIF('SD058'!$A:$A,"*"&amp;$A68&amp;"*",'SD058'!$B:$B))</f>
        <v>0</v>
      </c>
      <c r="K68" s="6">
        <f>IF($A68="","",SUMIF('PP055-MO'!$A:$A,"*"&amp;$A68&amp;"*",'PP055-MO'!$B:$B))</f>
        <v>0</v>
      </c>
      <c r="L68" s="6">
        <f>IF($A68="","",SUMIF('PP055-MO'!$A:$A,"*"&amp;$A68&amp;"*",'PP055-MO'!$C:$C))</f>
        <v>0</v>
      </c>
      <c r="M68" s="6">
        <f>IF($A68="","",SUMIF('PP055-OW'!$A:$A,"*"&amp;$A68&amp;"*",'PP055-OW'!$B:$B))</f>
        <v>0</v>
      </c>
      <c r="N68" s="10">
        <f t="shared" si="14"/>
        <v>0</v>
      </c>
      <c r="O68" s="19">
        <f>IF($A68="","",SUMIF('WM014'!$A:$A,"*"&amp;$A68&amp;"*",'WM014'!$B:$B))</f>
        <v>0</v>
      </c>
      <c r="P68" s="19">
        <f t="shared" si="16"/>
        <v>0</v>
      </c>
      <c r="Q68" s="41"/>
      <c r="R68" s="41"/>
      <c r="S68" s="41"/>
      <c r="T68" s="41"/>
      <c r="U68" s="41"/>
      <c r="V68" s="41"/>
      <c r="W68" s="41"/>
      <c r="X68" s="41"/>
      <c r="Y68" s="41"/>
    </row>
    <row r="69" spans="1:26">
      <c r="A69" s="15" t="s">
        <v>166</v>
      </c>
      <c r="B69" s="15" t="s">
        <v>116</v>
      </c>
      <c r="C69" s="6"/>
      <c r="D69" s="3">
        <v>1.1000000000000001</v>
      </c>
      <c r="E69" s="7">
        <f t="shared" si="17"/>
        <v>0</v>
      </c>
      <c r="F69" s="19"/>
      <c r="G69" s="3">
        <v>280</v>
      </c>
      <c r="H69" s="3"/>
      <c r="I69" s="3"/>
      <c r="J69" s="6">
        <f>IF($A69="","",SUMIF('SD058'!$A:$A,"*"&amp;$A69&amp;"*",'SD058'!$B:$B))</f>
        <v>0</v>
      </c>
      <c r="K69" s="6">
        <f>IF($A69="","",SUMIF('PP055-MO'!$A:$A,"*"&amp;$A69&amp;"*",'PP055-MO'!$B:$B))</f>
        <v>0</v>
      </c>
      <c r="L69" s="6">
        <f>IF($A69="","",SUMIF('PP055-MO'!$A:$A,"*"&amp;$A69&amp;"*",'PP055-MO'!$C:$C))</f>
        <v>0</v>
      </c>
      <c r="M69" s="6">
        <f>IF($A69="","",SUMIF('PP055-OW'!$A:$A,"*"&amp;$A69&amp;"*",'PP055-OW'!$B:$B))</f>
        <v>0</v>
      </c>
      <c r="N69" s="10" t="str">
        <f t="shared" si="14"/>
        <v/>
      </c>
      <c r="O69" s="19">
        <f>IF($A69="","",SUMIF('WM014'!$A:$A,"*"&amp;$A69&amp;"*",'WM014'!$B:$B))</f>
        <v>0</v>
      </c>
      <c r="P69" s="19">
        <f t="shared" si="16"/>
        <v>0</v>
      </c>
      <c r="Q69" s="41"/>
      <c r="R69" s="41"/>
      <c r="S69" s="41"/>
      <c r="T69" s="41"/>
      <c r="U69" s="41"/>
      <c r="V69" s="41"/>
      <c r="W69" s="41"/>
      <c r="X69" s="41"/>
      <c r="Y69" s="41"/>
    </row>
    <row r="70" spans="1:26">
      <c r="A70" s="15" t="s">
        <v>169</v>
      </c>
      <c r="B70" s="15" t="s">
        <v>116</v>
      </c>
      <c r="C70" s="6"/>
      <c r="D70" s="3">
        <v>1.1000000000000001</v>
      </c>
      <c r="E70" s="7">
        <f t="shared" si="17"/>
        <v>0</v>
      </c>
      <c r="F70" s="19"/>
      <c r="G70" s="3">
        <v>250</v>
      </c>
      <c r="H70" s="3"/>
      <c r="I70" s="3"/>
      <c r="J70" s="6">
        <f>IF($A70="","",SUMIF('SD058'!$A:$A,"*"&amp;$A70&amp;"*",'SD058'!$B:$B))</f>
        <v>0</v>
      </c>
      <c r="K70" s="6">
        <f>IF($A70="","",SUMIF('PP055-MO'!$A:$A,"*"&amp;$A70&amp;"*",'PP055-MO'!$B:$B))</f>
        <v>0</v>
      </c>
      <c r="L70" s="6">
        <f>IF($A70="","",SUMIF('PP055-MO'!$A:$A,"*"&amp;$A70&amp;"*",'PP055-MO'!$C:$C))</f>
        <v>0</v>
      </c>
      <c r="M70" s="6">
        <f>IF($A70="","",SUMIF('PP055-OW'!$A:$A,"*"&amp;$A70&amp;"*",'PP055-OW'!$B:$B))</f>
        <v>0</v>
      </c>
      <c r="N70" s="10" t="str">
        <f t="shared" si="14"/>
        <v/>
      </c>
      <c r="O70" s="19">
        <f>IF($A70="","",SUMIF('WM014'!$A:$A,"*"&amp;$A70&amp;"*",'WM014'!$B:$B))</f>
        <v>0</v>
      </c>
      <c r="P70" s="19">
        <f t="shared" si="16"/>
        <v>0</v>
      </c>
      <c r="Q70" s="41"/>
      <c r="R70" s="41"/>
      <c r="S70" s="41"/>
      <c r="T70" s="41"/>
      <c r="U70" s="41"/>
      <c r="V70" s="41"/>
      <c r="W70" s="41"/>
      <c r="X70" s="41"/>
      <c r="Y70" s="41"/>
    </row>
    <row r="71" spans="1:26">
      <c r="A71" s="15" t="s">
        <v>212</v>
      </c>
      <c r="B71" s="15" t="s">
        <v>116</v>
      </c>
      <c r="C71" s="6"/>
      <c r="D71" s="3">
        <v>1.08</v>
      </c>
      <c r="E71" s="7">
        <f t="shared" si="17"/>
        <v>0</v>
      </c>
      <c r="F71" s="19"/>
      <c r="G71" s="3"/>
      <c r="H71" s="3"/>
      <c r="I71" s="3"/>
      <c r="J71" s="6">
        <f>IF($A71="","",SUMIF('SD058'!$A:$A,"*"&amp;$A71&amp;"*",'SD058'!$B:$B))</f>
        <v>0</v>
      </c>
      <c r="K71" s="6">
        <f>IF($A71="","",SUMIF('PP055-MO'!$A:$A,"*"&amp;$A71&amp;"*",'PP055-MO'!$B:$B))</f>
        <v>0</v>
      </c>
      <c r="L71" s="6">
        <f>IF($A71="","",SUMIF('PP055-MO'!$A:$A,"*"&amp;$A71&amp;"*",'PP055-MO'!$C:$C))</f>
        <v>0</v>
      </c>
      <c r="M71" s="6">
        <f>IF($A71="","",SUMIF('PP055-OW'!$A:$A,"*"&amp;$A71&amp;"*",'PP055-OW'!$B:$B))</f>
        <v>0</v>
      </c>
      <c r="N71" s="10" t="str">
        <f t="shared" ref="N71" si="18">IFERROR(M71/(G71*H71),"")</f>
        <v/>
      </c>
      <c r="O71" s="19">
        <f>IF($A71="","",SUMIF('WM014'!$A:$A,"*"&amp;$A71&amp;"*",'WM014'!$B:$B))</f>
        <v>0</v>
      </c>
      <c r="P71" s="19">
        <f t="shared" ref="P71" si="19">J71-K71</f>
        <v>0</v>
      </c>
      <c r="Q71" s="41"/>
      <c r="R71" s="41" t="s">
        <v>207</v>
      </c>
      <c r="S71" s="41"/>
      <c r="T71" s="41"/>
      <c r="U71" s="41"/>
      <c r="V71" s="41"/>
      <c r="W71" s="41"/>
      <c r="X71" s="41"/>
      <c r="Y71" s="41"/>
    </row>
    <row r="72" spans="1:26">
      <c r="A72" s="15" t="s">
        <v>145</v>
      </c>
      <c r="B72" s="15" t="s">
        <v>116</v>
      </c>
      <c r="C72" s="6"/>
      <c r="D72" s="3">
        <v>1.08</v>
      </c>
      <c r="E72" s="7">
        <f t="shared" si="17"/>
        <v>0</v>
      </c>
      <c r="F72" s="19"/>
      <c r="G72" s="3">
        <v>250</v>
      </c>
      <c r="H72" s="3">
        <v>1</v>
      </c>
      <c r="I72" s="3">
        <v>1</v>
      </c>
      <c r="J72" s="6">
        <f>IF($A72="","",SUMIF('SD058'!$A:$A,"*"&amp;$A72&amp;"*",'SD058'!$B:$B))</f>
        <v>0</v>
      </c>
      <c r="K72" s="6">
        <f>IF($A72="","",SUMIF('PP055-MO'!$A:$A,"*"&amp;$A72&amp;"*",'PP055-MO'!$B:$B))</f>
        <v>0</v>
      </c>
      <c r="L72" s="6">
        <f>IF($A72="","",SUMIF('PP055-MO'!$A:$A,"*"&amp;$A72&amp;"*",'PP055-MO'!$C:$C))</f>
        <v>0</v>
      </c>
      <c r="M72" s="6">
        <f>IF($A72="","",SUMIF('PP055-OW'!$A:$A,"*"&amp;$A72&amp;"*",'PP055-OW'!$B:$B))</f>
        <v>0</v>
      </c>
      <c r="N72" s="10">
        <f t="shared" si="14"/>
        <v>0</v>
      </c>
      <c r="O72" s="19">
        <f>IF($A72="","",SUMIF('WM014'!$A:$A,"*"&amp;$A72&amp;"*",'WM014'!$B:$B))</f>
        <v>0</v>
      </c>
      <c r="P72" s="19">
        <f t="shared" si="16"/>
        <v>0</v>
      </c>
      <c r="Q72" s="41"/>
      <c r="R72" s="41"/>
      <c r="S72" s="41"/>
      <c r="T72" s="41"/>
      <c r="U72" s="41"/>
      <c r="V72" s="41"/>
      <c r="W72" s="41"/>
      <c r="X72" s="41"/>
      <c r="Y72" s="41"/>
    </row>
    <row r="73" spans="1:26">
      <c r="A73" s="15" t="s">
        <v>208</v>
      </c>
      <c r="B73" s="15" t="s">
        <v>124</v>
      </c>
      <c r="C73" s="6"/>
      <c r="D73" s="3">
        <v>1.1000000000000001</v>
      </c>
      <c r="E73" s="7">
        <f t="shared" si="17"/>
        <v>0</v>
      </c>
      <c r="F73" s="19"/>
      <c r="G73" s="3">
        <v>250</v>
      </c>
      <c r="H73" s="3">
        <v>3</v>
      </c>
      <c r="I73" s="3">
        <v>1</v>
      </c>
      <c r="J73" s="6">
        <f>IF($A73="","",SUMIF('SD058'!$A:$A,"*"&amp;$A73&amp;"*",'SD058'!$B:$B))</f>
        <v>0</v>
      </c>
      <c r="K73" s="6">
        <f>IF($A73="","",SUMIF('PP055-MO'!$A:$A,"*"&amp;$A73&amp;"*",'PP055-MO'!$B:$B))</f>
        <v>0</v>
      </c>
      <c r="L73" s="6">
        <f>IF($A73="","",SUMIF('PP055-MO'!$A:$A,"*"&amp;$A73&amp;"*",'PP055-MO'!$C:$C))</f>
        <v>0</v>
      </c>
      <c r="M73" s="6">
        <f>IF($A73="","",SUMIF('PP055-OW'!$A:$A,"*"&amp;$A73&amp;"*",'PP055-OW'!$B:$B))</f>
        <v>0</v>
      </c>
      <c r="N73" s="10">
        <f t="shared" ref="N73" si="20">IFERROR(M73/(G73*H73),"")</f>
        <v>0</v>
      </c>
      <c r="O73" s="19">
        <f>IF($A73="","",SUMIF('WM014'!$A:$A,"*"&amp;$A73&amp;"*",'WM014'!$B:$B))</f>
        <v>0</v>
      </c>
      <c r="P73" s="19">
        <f t="shared" ref="P73" si="21">J73-K73</f>
        <v>0</v>
      </c>
      <c r="Q73" s="41"/>
      <c r="R73" s="41"/>
      <c r="S73" s="41"/>
      <c r="T73" s="41"/>
      <c r="U73" s="41"/>
      <c r="V73" s="41"/>
      <c r="W73" s="41"/>
      <c r="X73" s="41"/>
      <c r="Y73" s="41"/>
    </row>
    <row r="74" spans="1:26">
      <c r="A74" s="15" t="s">
        <v>167</v>
      </c>
      <c r="B74" s="15" t="s">
        <v>124</v>
      </c>
      <c r="C74" s="6"/>
      <c r="D74" s="3">
        <v>1.1000000000000001</v>
      </c>
      <c r="E74" s="7">
        <f t="shared" si="17"/>
        <v>0</v>
      </c>
      <c r="F74" s="19"/>
      <c r="G74" s="3">
        <v>280</v>
      </c>
      <c r="H74" s="3"/>
      <c r="I74" s="3"/>
      <c r="J74" s="6">
        <f>IF($A74="","",SUMIF('SD058'!$A:$A,"*"&amp;$A74&amp;"*",'SD058'!$B:$B))</f>
        <v>0</v>
      </c>
      <c r="K74" s="6">
        <f>IF($A74="","",SUMIF('PP055-MO'!$A:$A,"*"&amp;$A74&amp;"*",'PP055-MO'!$B:$B))</f>
        <v>0</v>
      </c>
      <c r="L74" s="6">
        <f>IF($A74="","",SUMIF('PP055-MO'!$A:$A,"*"&amp;$A74&amp;"*",'PP055-MO'!$C:$C))</f>
        <v>0</v>
      </c>
      <c r="M74" s="6">
        <f>IF($A74="","",SUMIF('PP055-OW'!$A:$A,"*"&amp;$A74&amp;"*",'PP055-OW'!$B:$B))</f>
        <v>0</v>
      </c>
      <c r="N74" s="10" t="str">
        <f t="shared" si="14"/>
        <v/>
      </c>
      <c r="O74" s="19">
        <f>IF($A74="","",SUMIF('WM014'!$A:$A,"*"&amp;$A74&amp;"*",'WM014'!$B:$B))</f>
        <v>0</v>
      </c>
      <c r="P74" s="19">
        <f t="shared" si="16"/>
        <v>0</v>
      </c>
      <c r="Q74" s="41"/>
      <c r="R74" s="41" t="s">
        <v>200</v>
      </c>
      <c r="S74" s="41"/>
      <c r="T74" s="41"/>
      <c r="U74" s="41"/>
      <c r="V74" s="41"/>
      <c r="W74" s="41"/>
      <c r="X74" s="41"/>
      <c r="Y74" s="41"/>
    </row>
    <row r="75" spans="1:26">
      <c r="A75" s="15" t="s">
        <v>106</v>
      </c>
      <c r="B75" s="15" t="s">
        <v>124</v>
      </c>
      <c r="C75" s="6"/>
      <c r="D75" s="3">
        <v>1.1000000000000001</v>
      </c>
      <c r="E75" s="7">
        <f t="shared" si="17"/>
        <v>0</v>
      </c>
      <c r="F75" s="19"/>
      <c r="G75" s="3">
        <v>250</v>
      </c>
      <c r="H75" s="3"/>
      <c r="I75" s="3"/>
      <c r="J75" s="6">
        <f>IF($A75="","",SUMIF('SD058'!$A:$A,"*"&amp;$A75&amp;"*",'SD058'!$B:$B))</f>
        <v>0</v>
      </c>
      <c r="K75" s="6">
        <f>IF($A75="","",SUMIF('PP055-MO'!$A:$A,"*"&amp;$A75&amp;"*",'PP055-MO'!$B:$B))</f>
        <v>0</v>
      </c>
      <c r="L75" s="6">
        <f>IF($A75="","",SUMIF('PP055-MO'!$A:$A,"*"&amp;$A75&amp;"*",'PP055-MO'!$C:$C))</f>
        <v>0</v>
      </c>
      <c r="M75" s="6">
        <f>IF($A75="","",SUMIF('PP055-OW'!$A:$A,"*"&amp;$A75&amp;"*",'PP055-OW'!$B:$B))</f>
        <v>0</v>
      </c>
      <c r="N75" s="10" t="str">
        <f t="shared" si="14"/>
        <v/>
      </c>
      <c r="O75" s="19">
        <f>IF($A75="","",SUMIF('WM014'!$A:$A,"*"&amp;$A75&amp;"*",'WM014'!$B:$B))</f>
        <v>0</v>
      </c>
      <c r="P75" s="19">
        <f t="shared" si="16"/>
        <v>0</v>
      </c>
      <c r="Q75" s="41"/>
      <c r="R75" s="41"/>
      <c r="S75" s="41"/>
      <c r="T75" s="41"/>
      <c r="U75" s="41"/>
      <c r="V75" s="41"/>
      <c r="W75" s="41"/>
      <c r="X75" s="41"/>
      <c r="Y75" s="41"/>
    </row>
    <row r="76" spans="1:26">
      <c r="A76" s="15" t="s">
        <v>158</v>
      </c>
      <c r="B76" s="15" t="s">
        <v>124</v>
      </c>
      <c r="C76" s="6"/>
      <c r="D76" s="3">
        <v>1.1000000000000001</v>
      </c>
      <c r="E76" s="7">
        <f t="shared" si="17"/>
        <v>0</v>
      </c>
      <c r="F76" s="19"/>
      <c r="G76" s="3">
        <v>250</v>
      </c>
      <c r="H76" s="3"/>
      <c r="I76" s="3"/>
      <c r="J76" s="6">
        <f>IF($A76="","",SUMIF('SD058'!$A:$A,"*"&amp;$A76&amp;"*",'SD058'!$B:$B))</f>
        <v>0</v>
      </c>
      <c r="K76" s="6">
        <f>IF($A76="","",SUMIF('PP055-MO'!$A:$A,"*"&amp;$A76&amp;"*",'PP055-MO'!$B:$B))</f>
        <v>0</v>
      </c>
      <c r="L76" s="6">
        <f>IF($A76="","",SUMIF('PP055-MO'!$A:$A,"*"&amp;$A76&amp;"*",'PP055-MO'!$C:$C))</f>
        <v>0</v>
      </c>
      <c r="M76" s="6">
        <f>IF($A76="","",SUMIF('PP055-OW'!$A:$A,"*"&amp;$A76&amp;"*",'PP055-OW'!$B:$B))</f>
        <v>0</v>
      </c>
      <c r="N76" s="10" t="str">
        <f t="shared" si="14"/>
        <v/>
      </c>
      <c r="O76" s="19">
        <f>IF($A76="","",SUMIF('WM014'!$A:$A,"*"&amp;$A76&amp;"*",'WM014'!$B:$B))</f>
        <v>0</v>
      </c>
      <c r="P76" s="19">
        <f t="shared" si="16"/>
        <v>0</v>
      </c>
      <c r="Q76" s="41"/>
      <c r="R76" s="41"/>
      <c r="S76" s="41"/>
      <c r="T76" s="41"/>
      <c r="U76" s="41"/>
      <c r="V76" s="41"/>
      <c r="W76" s="41"/>
      <c r="X76" s="41"/>
      <c r="Y76" s="41"/>
    </row>
    <row r="77" spans="1:26">
      <c r="A77" s="15" t="s">
        <v>221</v>
      </c>
      <c r="B77" s="15" t="s">
        <v>124</v>
      </c>
      <c r="C77" s="6"/>
      <c r="D77" s="3">
        <v>1.1000000000000001</v>
      </c>
      <c r="E77" s="7">
        <f t="shared" si="17"/>
        <v>0</v>
      </c>
      <c r="F77" s="19"/>
      <c r="G77" s="3">
        <v>280</v>
      </c>
      <c r="H77" s="3">
        <v>1</v>
      </c>
      <c r="I77" s="3">
        <v>0</v>
      </c>
      <c r="J77" s="6">
        <f>IF($A77="","",SUMIF('SD058'!$A:$A,"*"&amp;$A77&amp;"*",'SD058'!$B:$B))</f>
        <v>0</v>
      </c>
      <c r="K77" s="6">
        <f>IF($A77="","",SUMIF('PP055-MO'!$A:$A,"*"&amp;$A77&amp;"*",'PP055-MO'!$B:$B))</f>
        <v>0</v>
      </c>
      <c r="L77" s="6">
        <f>IF($A77="","",SUMIF('PP055-MO'!$A:$A,"*"&amp;$A77&amp;"*",'PP055-MO'!$C:$C))</f>
        <v>0</v>
      </c>
      <c r="M77" s="6">
        <f>IF($A77="","",SUMIF('PP055-OW'!$A:$A,"*"&amp;$A77&amp;"*",'PP055-OW'!$B:$B))</f>
        <v>0</v>
      </c>
      <c r="N77" s="10">
        <f t="shared" ref="N77" si="22">IFERROR(M77/(G77*H77),"")</f>
        <v>0</v>
      </c>
      <c r="O77" s="19">
        <f>IF($A77="","",SUMIF('WM014'!$A:$A,"*"&amp;$A77&amp;"*",'WM014'!$B:$B))</f>
        <v>0</v>
      </c>
      <c r="P77" s="19">
        <f t="shared" ref="P77" si="23">J77-K77</f>
        <v>0</v>
      </c>
      <c r="Q77" s="41"/>
      <c r="R77" s="41"/>
      <c r="S77" s="41"/>
      <c r="T77" s="41"/>
      <c r="U77" s="41"/>
      <c r="V77" s="41"/>
      <c r="W77" s="41"/>
      <c r="X77" s="41"/>
      <c r="Y77" s="41"/>
    </row>
    <row r="78" spans="1:26">
      <c r="A78" s="15" t="s">
        <v>223</v>
      </c>
      <c r="B78" s="15" t="s">
        <v>124</v>
      </c>
      <c r="C78" s="6"/>
      <c r="D78" s="3">
        <v>1.1000000000000001</v>
      </c>
      <c r="E78" s="7">
        <f t="shared" si="17"/>
        <v>0</v>
      </c>
      <c r="F78" s="19"/>
      <c r="G78" s="3"/>
      <c r="H78" s="3"/>
      <c r="I78" s="3"/>
      <c r="J78" s="6">
        <f>IF($A78="","",SUMIF('SD058'!$A:$A,"*"&amp;$A78&amp;"*",'SD058'!$B:$B))</f>
        <v>0</v>
      </c>
      <c r="K78" s="6">
        <f>IF($A78="","",SUMIF('PP055-MO'!$A:$A,"*"&amp;$A78&amp;"*",'PP055-MO'!$B:$B))</f>
        <v>0</v>
      </c>
      <c r="L78" s="6">
        <f>IF($A78="","",SUMIF('PP055-MO'!$A:$A,"*"&amp;$A78&amp;"*",'PP055-MO'!$C:$C))</f>
        <v>0</v>
      </c>
      <c r="M78" s="6">
        <f>IF($A78="","",SUMIF('PP055-OW'!$A:$A,"*"&amp;$A78&amp;"*",'PP055-OW'!$B:$B))</f>
        <v>0</v>
      </c>
      <c r="N78" s="10" t="str">
        <f t="shared" ref="N78" si="24">IFERROR(M78/(G78*H78),"")</f>
        <v/>
      </c>
      <c r="O78" s="19">
        <f>IF($A78="","",SUMIF('WM014'!$A:$A,"*"&amp;$A78&amp;"*",'WM014'!$B:$B))</f>
        <v>0</v>
      </c>
      <c r="P78" s="19">
        <f t="shared" ref="P78" si="25">J78-K78</f>
        <v>0</v>
      </c>
      <c r="Q78" s="41"/>
      <c r="R78" s="41"/>
      <c r="S78" s="41"/>
      <c r="T78" s="41"/>
      <c r="U78" s="41"/>
      <c r="V78" s="41"/>
      <c r="W78" s="41"/>
      <c r="X78" s="41"/>
      <c r="Y78" s="41"/>
    </row>
    <row r="79" spans="1:26">
      <c r="A79" s="15" t="s">
        <v>148</v>
      </c>
      <c r="B79" s="15" t="s">
        <v>121</v>
      </c>
      <c r="C79" s="6"/>
      <c r="D79" s="3">
        <v>1.08</v>
      </c>
      <c r="E79" s="7">
        <f t="shared" si="17"/>
        <v>0</v>
      </c>
      <c r="F79" s="19"/>
      <c r="G79" s="3">
        <v>110</v>
      </c>
      <c r="H79" s="3"/>
      <c r="I79" s="3"/>
      <c r="J79" s="6">
        <f>IF($A79="","",SUMIF('SD058'!$A:$A,"*"&amp;$A79&amp;"*",'SD058'!$B:$B))</f>
        <v>0</v>
      </c>
      <c r="K79" s="6">
        <f>IF($A79="","",SUMIF('PP055-MO'!$A:$A,"*"&amp;$A79&amp;"*",'PP055-MO'!$B:$B))</f>
        <v>0</v>
      </c>
      <c r="L79" s="6">
        <f>IF($A79="","",SUMIF('PP055-MO'!$A:$A,"*"&amp;$A79&amp;"*",'PP055-MO'!$C:$C))</f>
        <v>0</v>
      </c>
      <c r="M79" s="6">
        <f>IF($A79="","",SUMIF('PP055-OW'!$A:$A,"*"&amp;$A79&amp;"*",'PP055-OW'!$B:$B))</f>
        <v>0</v>
      </c>
      <c r="N79" s="10" t="str">
        <f t="shared" si="14"/>
        <v/>
      </c>
      <c r="O79" s="19">
        <f>IF($A79="","",SUMIF('WM014'!$A:$A,"*"&amp;$A79&amp;"*",'WM014'!$B:$B))</f>
        <v>0</v>
      </c>
      <c r="P79" s="19">
        <f t="shared" si="16"/>
        <v>0</v>
      </c>
      <c r="Q79" s="41"/>
      <c r="R79" s="41"/>
      <c r="S79" s="41"/>
      <c r="T79" s="41"/>
      <c r="U79" s="41"/>
      <c r="V79" s="41"/>
      <c r="W79" s="41"/>
      <c r="X79" s="41"/>
      <c r="Y79" s="41"/>
    </row>
    <row r="80" spans="1:26">
      <c r="A80" s="15" t="s">
        <v>222</v>
      </c>
      <c r="B80" s="15" t="s">
        <v>198</v>
      </c>
      <c r="C80" s="6"/>
      <c r="D80" s="3">
        <v>1.08</v>
      </c>
      <c r="E80" s="7">
        <f t="shared" si="17"/>
        <v>0</v>
      </c>
      <c r="F80" s="19"/>
      <c r="G80" s="3"/>
      <c r="H80" s="3"/>
      <c r="I80" s="3"/>
      <c r="J80" s="6">
        <f>IF($A80="","",SUMIF('SD058'!$A:$A,"*"&amp;$A80&amp;"*",'SD058'!$B:$B))</f>
        <v>0</v>
      </c>
      <c r="K80" s="6">
        <f>IF($A80="","",SUMIF('PP055-MO'!$A:$A,"*"&amp;$A80&amp;"*",'PP055-MO'!$B:$B))</f>
        <v>0</v>
      </c>
      <c r="L80" s="6">
        <f>IF($A80="","",SUMIF('PP055-MO'!$A:$A,"*"&amp;$A80&amp;"*",'PP055-MO'!$C:$C))</f>
        <v>0</v>
      </c>
      <c r="M80" s="6">
        <f>IF($A80="","",SUMIF('PP055-OW'!$A:$A,"*"&amp;$A80&amp;"*",'PP055-OW'!$B:$B))</f>
        <v>0</v>
      </c>
      <c r="N80" s="10" t="str">
        <f t="shared" ref="N80" si="26">IFERROR(M80/(G80*H80),"")</f>
        <v/>
      </c>
      <c r="O80" s="19">
        <f>IF($A80="","",SUMIF('WM014'!$A:$A,"*"&amp;$A80&amp;"*",'WM014'!$B:$B))</f>
        <v>0</v>
      </c>
      <c r="P80" s="19">
        <f t="shared" ref="P80" si="27">J80-K80</f>
        <v>0</v>
      </c>
      <c r="Q80" s="41"/>
      <c r="R80" s="41"/>
      <c r="S80" s="41"/>
      <c r="T80" s="41"/>
      <c r="U80" s="41"/>
      <c r="V80" s="41"/>
      <c r="W80" s="41"/>
      <c r="X80" s="41"/>
      <c r="Y80" s="41"/>
    </row>
    <row r="81" spans="1:25">
      <c r="A81" s="15" t="s">
        <v>227</v>
      </c>
      <c r="B81" s="15" t="s">
        <v>198</v>
      </c>
      <c r="C81" s="6"/>
      <c r="D81" s="3">
        <v>1.08</v>
      </c>
      <c r="E81" s="7">
        <f t="shared" si="17"/>
        <v>0</v>
      </c>
      <c r="F81" s="19"/>
      <c r="G81" s="3"/>
      <c r="H81" s="3">
        <v>1</v>
      </c>
      <c r="I81" s="3">
        <v>0</v>
      </c>
      <c r="J81" s="6">
        <f>IF($A81="","",SUMIF('SD058'!$A:$A,"*"&amp;$A81&amp;"*",'SD058'!$B:$B))</f>
        <v>0</v>
      </c>
      <c r="K81" s="6">
        <f>IF($A81="","",SUMIF('PP055-MO'!$A:$A,"*"&amp;$A81&amp;"*",'PP055-MO'!$B:$B))</f>
        <v>0</v>
      </c>
      <c r="L81" s="6">
        <f>IF($A81="","",SUMIF('PP055-MO'!$A:$A,"*"&amp;$A81&amp;"*",'PP055-MO'!$C:$C))</f>
        <v>0</v>
      </c>
      <c r="M81" s="6">
        <f>IF($A81="","",SUMIF('PP055-OW'!$A:$A,"*"&amp;$A81&amp;"*",'PP055-OW'!$B:$B))</f>
        <v>0</v>
      </c>
      <c r="N81" s="10" t="str">
        <f t="shared" ref="N81" si="28">IFERROR(M81/(G81*H81),"")</f>
        <v/>
      </c>
      <c r="O81" s="19">
        <f>IF($A81="","",SUMIF('WM014'!$A:$A,"*"&amp;$A81&amp;"*",'WM014'!$B:$B))</f>
        <v>0</v>
      </c>
      <c r="P81" s="19">
        <f t="shared" ref="P81" si="29">J81-K81</f>
        <v>0</v>
      </c>
      <c r="Q81" s="41"/>
      <c r="R81" s="41"/>
      <c r="S81" s="41"/>
      <c r="T81" s="41"/>
      <c r="U81" s="41"/>
      <c r="V81" s="41"/>
      <c r="W81" s="41"/>
      <c r="X81" s="41"/>
      <c r="Y81" s="41"/>
    </row>
    <row r="82" spans="1:25">
      <c r="A82" s="15" t="s">
        <v>206</v>
      </c>
      <c r="B82" s="15" t="s">
        <v>122</v>
      </c>
      <c r="C82" s="6"/>
      <c r="D82" s="3">
        <v>1.1000000000000001</v>
      </c>
      <c r="E82" s="7">
        <f t="shared" si="17"/>
        <v>0</v>
      </c>
      <c r="F82" s="19"/>
      <c r="G82" s="3"/>
      <c r="H82" s="3"/>
      <c r="I82" s="3"/>
      <c r="J82" s="6">
        <f>IF($A82="","",SUMIF('SD058'!$A:$A,"*"&amp;$A82&amp;"*",'SD058'!$B:$B))</f>
        <v>0</v>
      </c>
      <c r="K82" s="6">
        <f>IF($A82="","",SUMIF('PP055-MO'!$A:$A,"*"&amp;$A82&amp;"*",'PP055-MO'!$B:$B))</f>
        <v>0</v>
      </c>
      <c r="L82" s="6">
        <f>IF($A82="","",SUMIF('PP055-MO'!$A:$A,"*"&amp;$A82&amp;"*",'PP055-MO'!$C:$C))</f>
        <v>0</v>
      </c>
      <c r="M82" s="6">
        <f>IF($A82="","",SUMIF('PP055-OW'!$A:$A,"*"&amp;$A82&amp;"*",'PP055-OW'!$B:$B))</f>
        <v>0</v>
      </c>
      <c r="N82" s="10" t="str">
        <f t="shared" si="14"/>
        <v/>
      </c>
      <c r="O82" s="19">
        <f>IF($A82="","",SUMIF('WM014'!$A:$A,"*"&amp;$A82&amp;"*",'WM014'!$B:$B))</f>
        <v>0</v>
      </c>
      <c r="P82" s="19">
        <f t="shared" si="16"/>
        <v>0</v>
      </c>
      <c r="Q82" s="41"/>
      <c r="R82" s="41"/>
      <c r="S82" s="41"/>
      <c r="T82" s="41"/>
      <c r="U82" s="41"/>
      <c r="V82" s="41"/>
      <c r="W82" s="41"/>
      <c r="X82" s="41"/>
      <c r="Y82" s="41"/>
    </row>
    <row r="83" spans="1:25">
      <c r="A83" s="15" t="s">
        <v>159</v>
      </c>
      <c r="B83" s="15" t="s">
        <v>125</v>
      </c>
      <c r="C83" s="6"/>
      <c r="D83" s="3">
        <v>1.1000000000000001</v>
      </c>
      <c r="E83" s="7">
        <f t="shared" si="17"/>
        <v>0</v>
      </c>
      <c r="F83" s="19"/>
      <c r="G83" s="3">
        <v>470</v>
      </c>
      <c r="H83" s="3">
        <v>2</v>
      </c>
      <c r="I83" s="3">
        <v>0</v>
      </c>
      <c r="J83" s="6">
        <f>IF($A83="","",SUMIF('SD058'!$A:$A,"*"&amp;$A83&amp;"*",'SD058'!$B:$B))</f>
        <v>0</v>
      </c>
      <c r="K83" s="6">
        <f>IF($A83="","",SUMIF('PP055-MO'!$A:$A,"*"&amp;$A83&amp;"*",'PP055-MO'!$B:$B))</f>
        <v>0</v>
      </c>
      <c r="L83" s="6">
        <f>IF($A83="","",SUMIF('PP055-MO'!$A:$A,"*"&amp;$A83&amp;"*",'PP055-MO'!$C:$C))</f>
        <v>0</v>
      </c>
      <c r="M83" s="6">
        <f>IF($A83="","",SUMIF('PP055-OW'!$A:$A,"*"&amp;$A83&amp;"*",'PP055-OW'!$B:$B))</f>
        <v>0</v>
      </c>
      <c r="N83" s="10">
        <f t="shared" si="14"/>
        <v>0</v>
      </c>
      <c r="O83" s="19">
        <f>IF($A83="","",SUMIF('WM014'!$A:$A,"*"&amp;$A83&amp;"*",'WM014'!$B:$B))</f>
        <v>0</v>
      </c>
      <c r="P83" s="19">
        <f t="shared" si="16"/>
        <v>0</v>
      </c>
      <c r="Q83" s="41"/>
      <c r="R83" s="41"/>
      <c r="S83" s="41"/>
      <c r="T83" s="41"/>
      <c r="U83" s="41"/>
      <c r="V83" s="41"/>
      <c r="W83" s="41"/>
      <c r="X83" s="41"/>
      <c r="Y83" s="41"/>
    </row>
    <row r="84" spans="1:25">
      <c r="A84" s="15" t="s">
        <v>163</v>
      </c>
      <c r="B84" s="15" t="s">
        <v>122</v>
      </c>
      <c r="C84" s="6"/>
      <c r="D84" s="3">
        <v>1.1000000000000001</v>
      </c>
      <c r="E84" s="7">
        <f t="shared" si="17"/>
        <v>0</v>
      </c>
      <c r="F84" s="19"/>
      <c r="G84" s="3">
        <v>600</v>
      </c>
      <c r="H84" s="3">
        <v>1</v>
      </c>
      <c r="I84" s="3">
        <v>1</v>
      </c>
      <c r="J84" s="6">
        <f>IF($A84="","",SUMIF('SD058'!$A:$A,"*"&amp;$A84&amp;"*",'SD058'!$B:$B))</f>
        <v>0</v>
      </c>
      <c r="K84" s="6">
        <f>IF($A84="","",SUMIF('PP055-MO'!$A:$A,"*"&amp;$A84&amp;"*",'PP055-MO'!$B:$B))</f>
        <v>0</v>
      </c>
      <c r="L84" s="6">
        <f>IF($A84="","",SUMIF('PP055-MO'!$A:$A,"*"&amp;$A84&amp;"*",'PP055-MO'!$C:$C))</f>
        <v>0</v>
      </c>
      <c r="M84" s="6">
        <f>IF($A84="","",SUMIF('PP055-OW'!$A:$A,"*"&amp;$A84&amp;"*",'PP055-OW'!$B:$B))</f>
        <v>0</v>
      </c>
      <c r="N84" s="10">
        <f t="shared" si="14"/>
        <v>0</v>
      </c>
      <c r="O84" s="19">
        <f>IF($A84="","",SUMIF('WM014'!$A:$A,"*"&amp;$A84&amp;"*",'WM014'!$B:$B))</f>
        <v>0</v>
      </c>
      <c r="P84" s="19">
        <f t="shared" si="16"/>
        <v>0</v>
      </c>
      <c r="Q84" s="41"/>
      <c r="R84" s="41"/>
      <c r="S84" s="41"/>
      <c r="T84" s="41"/>
      <c r="U84" s="41"/>
      <c r="V84" s="41"/>
      <c r="W84" s="41"/>
      <c r="X84" s="41"/>
      <c r="Y84" s="41"/>
    </row>
    <row r="85" spans="1:25">
      <c r="A85" s="15" t="s">
        <v>138</v>
      </c>
      <c r="B85" s="15" t="s">
        <v>122</v>
      </c>
      <c r="C85" s="6"/>
      <c r="D85" s="3">
        <v>1.1000000000000001</v>
      </c>
      <c r="E85" s="7">
        <f>C85*D85</f>
        <v>0</v>
      </c>
      <c r="F85" s="19"/>
      <c r="G85" s="3">
        <v>300</v>
      </c>
      <c r="H85" s="3"/>
      <c r="I85" s="3"/>
      <c r="J85" s="6">
        <f>IF($A85="","",SUMIF('SD058'!$A:$A,"*"&amp;$A85&amp;"*",'SD058'!$B:$B))</f>
        <v>0</v>
      </c>
      <c r="K85" s="6">
        <f>IF($A85="","",SUMIF('PP055-MO'!$A:$A,"*"&amp;$A85&amp;"*",'PP055-MO'!$B:$B))</f>
        <v>0</v>
      </c>
      <c r="L85" s="6">
        <f>IF($A85="","",SUMIF('PP055-MO'!$A:$A,"*"&amp;$A85&amp;"*",'PP055-MO'!$C:$C))</f>
        <v>0</v>
      </c>
      <c r="M85" s="6">
        <f>IF($A85="","",SUMIF('PP055-OW'!$A:$A,"*"&amp;$A85&amp;"*",'PP055-OW'!$B:$B))</f>
        <v>0</v>
      </c>
      <c r="N85" s="10" t="str">
        <f t="shared" si="14"/>
        <v/>
      </c>
      <c r="O85" s="19">
        <f>IF($A85="","",SUMIF('WM014'!$A:$A,"*"&amp;$A85&amp;"*",'WM014'!$B:$B))</f>
        <v>0</v>
      </c>
      <c r="P85" s="19">
        <f t="shared" si="16"/>
        <v>0</v>
      </c>
      <c r="Q85" s="41"/>
      <c r="R85" s="41"/>
      <c r="S85" s="41"/>
      <c r="T85" s="41"/>
      <c r="U85" s="41"/>
      <c r="V85" s="41"/>
      <c r="W85" s="41"/>
      <c r="X85" s="41"/>
      <c r="Y85" s="41"/>
    </row>
    <row r="86" spans="1:25">
      <c r="A86" s="15" t="s">
        <v>194</v>
      </c>
      <c r="B86" s="15" t="s">
        <v>141</v>
      </c>
      <c r="C86" s="6"/>
      <c r="D86" s="3">
        <v>1.1000000000000001</v>
      </c>
      <c r="E86" s="7">
        <f>C86*D86</f>
        <v>0</v>
      </c>
      <c r="F86" s="19"/>
      <c r="G86" s="3">
        <v>250</v>
      </c>
      <c r="H86" s="3"/>
      <c r="I86" s="3"/>
      <c r="J86" s="6">
        <f>IF($A86="","",SUMIF('SD058'!$A:$A,"*"&amp;$A86&amp;"*",'SD058'!$B:$B))</f>
        <v>0</v>
      </c>
      <c r="K86" s="6">
        <f>IF($A86="","",SUMIF('PP055-MO'!$A:$A,"*"&amp;$A86&amp;"*",'PP055-MO'!$B:$B))</f>
        <v>0</v>
      </c>
      <c r="L86" s="6">
        <f>IF($A86="","",SUMIF('PP055-MO'!$A:$A,"*"&amp;$A86&amp;"*",'PP055-MO'!$C:$C))</f>
        <v>0</v>
      </c>
      <c r="M86" s="6">
        <f>IF($A86="","",SUMIF('PP055-OW'!$A:$A,"*"&amp;$A86&amp;"*",'PP055-OW'!$B:$B))</f>
        <v>0</v>
      </c>
      <c r="N86" s="10" t="str">
        <f t="shared" si="14"/>
        <v/>
      </c>
      <c r="O86" s="19">
        <f>IF($A86="","",SUMIF('WM014'!$A:$A,"*"&amp;$A86&amp;"*",'WM014'!$B:$B))</f>
        <v>0</v>
      </c>
      <c r="P86" s="19">
        <f t="shared" si="16"/>
        <v>0</v>
      </c>
      <c r="Q86" s="41"/>
      <c r="R86" s="41"/>
      <c r="S86" s="41"/>
      <c r="T86" s="41"/>
      <c r="U86" s="41"/>
      <c r="V86" s="41"/>
      <c r="W86" s="41"/>
      <c r="X86" s="41"/>
      <c r="Y86" s="41"/>
    </row>
    <row r="87" spans="1:25">
      <c r="A87" s="15" t="s">
        <v>193</v>
      </c>
      <c r="B87" s="15" t="s">
        <v>141</v>
      </c>
      <c r="C87" s="6"/>
      <c r="D87" s="3">
        <v>1.1000000000000001</v>
      </c>
      <c r="E87" s="7">
        <f>C87*D87</f>
        <v>0</v>
      </c>
      <c r="F87" s="19"/>
      <c r="G87" s="3">
        <v>250</v>
      </c>
      <c r="H87" s="3"/>
      <c r="I87" s="3"/>
      <c r="J87" s="6">
        <f>IF($A87="","",SUMIF('SD058'!$A:$A,"*"&amp;$A87&amp;"*",'SD058'!$B:$B))</f>
        <v>0</v>
      </c>
      <c r="K87" s="6">
        <f>IF($A87="","",SUMIF('PP055-MO'!$A:$A,"*"&amp;$A87&amp;"*",'PP055-MO'!$B:$B))</f>
        <v>0</v>
      </c>
      <c r="L87" s="6">
        <f>IF($A87="","",SUMIF('PP055-MO'!$A:$A,"*"&amp;$A87&amp;"*",'PP055-MO'!$C:$C))</f>
        <v>0</v>
      </c>
      <c r="M87" s="6">
        <f>IF($A87="","",SUMIF('PP055-OW'!$A:$A,"*"&amp;$A87&amp;"*",'PP055-OW'!$B:$B))</f>
        <v>0</v>
      </c>
      <c r="N87" s="10" t="str">
        <f t="shared" si="14"/>
        <v/>
      </c>
      <c r="O87" s="19">
        <f>IF($A87="","",SUMIF('WM014'!$A:$A,"*"&amp;$A87&amp;"*",'WM014'!$B:$B))</f>
        <v>0</v>
      </c>
      <c r="P87" s="19">
        <f t="shared" si="16"/>
        <v>0</v>
      </c>
      <c r="Q87" s="41"/>
      <c r="R87" s="41"/>
      <c r="S87" s="41"/>
      <c r="T87" s="41"/>
      <c r="U87" s="41"/>
      <c r="V87" s="41"/>
      <c r="W87" s="41"/>
      <c r="X87" s="41"/>
      <c r="Y87" s="41"/>
    </row>
    <row r="88" spans="1:25" ht="19.5" customHeight="1">
      <c r="A88" s="15" t="s">
        <v>140</v>
      </c>
      <c r="B88" s="15" t="s">
        <v>141</v>
      </c>
      <c r="C88" s="6"/>
      <c r="D88" s="3">
        <v>1.1000000000000001</v>
      </c>
      <c r="E88" s="7">
        <f t="shared" si="17"/>
        <v>0</v>
      </c>
      <c r="F88" s="19"/>
      <c r="G88" s="3">
        <v>280</v>
      </c>
      <c r="H88" s="3"/>
      <c r="I88" s="3"/>
      <c r="J88" s="6">
        <f>IF($A88="","",SUMIF('SD058'!$A:$A,"*"&amp;$A88&amp;"*",'SD058'!$B:$B))</f>
        <v>0</v>
      </c>
      <c r="K88" s="6">
        <f>IF($A88="","",SUMIF('PP055-MO'!$A:$A,"*"&amp;$A88&amp;"*",'PP055-MO'!$B:$B))</f>
        <v>0</v>
      </c>
      <c r="L88" s="6">
        <f>IF($A88="","",SUMIF('PP055-MO'!$A:$A,"*"&amp;$A88&amp;"*",'PP055-MO'!$C:$C))</f>
        <v>0</v>
      </c>
      <c r="M88" s="6">
        <f>IF($A88="","",SUMIF('PP055-OW'!$A:$A,"*"&amp;$A88&amp;"*",'PP055-OW'!$B:$B))</f>
        <v>0</v>
      </c>
      <c r="N88" s="10" t="str">
        <f t="shared" si="14"/>
        <v/>
      </c>
      <c r="O88" s="19">
        <f>IF($A88="","",SUMIF('WM014'!$A:$A,"*"&amp;$A88&amp;"*",'WM014'!$B:$B))</f>
        <v>0</v>
      </c>
      <c r="P88" s="19">
        <f t="shared" si="16"/>
        <v>0</v>
      </c>
      <c r="Q88" s="41"/>
      <c r="R88" s="41"/>
      <c r="S88" s="41"/>
      <c r="T88" s="41"/>
      <c r="U88" s="41"/>
      <c r="V88" s="41"/>
      <c r="W88" s="41"/>
      <c r="X88" s="41"/>
      <c r="Y88" s="41"/>
    </row>
    <row r="89" spans="1:25" ht="19.5" customHeight="1">
      <c r="A89" s="15" t="s">
        <v>137</v>
      </c>
      <c r="B89" s="15" t="s">
        <v>124</v>
      </c>
      <c r="C89" s="6"/>
      <c r="D89" s="3">
        <v>1.1000000000000001</v>
      </c>
      <c r="E89" s="7">
        <f t="shared" si="17"/>
        <v>0</v>
      </c>
      <c r="F89" s="19"/>
      <c r="G89" s="3">
        <v>250</v>
      </c>
      <c r="H89" s="3"/>
      <c r="I89" s="3"/>
      <c r="J89" s="6">
        <f>IF($A89="","",SUMIF('SD058'!$A:$A,"*"&amp;$A89&amp;"*",'SD058'!$B:$B))</f>
        <v>0</v>
      </c>
      <c r="K89" s="6">
        <f>IF($A89="","",SUMIF('PP055-MO'!$A:$A,"*"&amp;$A89&amp;"*",'PP055-MO'!$B:$B))</f>
        <v>0</v>
      </c>
      <c r="L89" s="6">
        <f>IF($A89="","",SUMIF('PP055-MO'!$A:$A,"*"&amp;$A89&amp;"*",'PP055-MO'!$C:$C))</f>
        <v>0</v>
      </c>
      <c r="M89" s="6">
        <f>IF($A89="","",SUMIF('PP055-OW'!$A:$A,"*"&amp;$A89&amp;"*",'PP055-OW'!$B:$B))</f>
        <v>0</v>
      </c>
      <c r="N89" s="10" t="str">
        <f t="shared" si="14"/>
        <v/>
      </c>
      <c r="O89" s="19">
        <f>IF($A89="","",SUMIF('WM014'!$A:$A,"*"&amp;$A89&amp;"*",'WM014'!$B:$B))</f>
        <v>0</v>
      </c>
      <c r="P89" s="19">
        <f t="shared" si="16"/>
        <v>0</v>
      </c>
      <c r="Q89" s="41"/>
      <c r="R89" s="41"/>
      <c r="S89" s="41"/>
      <c r="T89" s="41"/>
      <c r="U89" s="41"/>
      <c r="V89" s="41"/>
      <c r="W89" s="41"/>
      <c r="X89" s="41"/>
      <c r="Y89" s="41"/>
    </row>
    <row r="90" spans="1:25" ht="19.5" customHeight="1">
      <c r="A90" s="15" t="s">
        <v>157</v>
      </c>
      <c r="B90" s="15" t="s">
        <v>124</v>
      </c>
      <c r="C90" s="6"/>
      <c r="D90" s="3">
        <v>1.1000000000000001</v>
      </c>
      <c r="E90" s="7">
        <f t="shared" si="17"/>
        <v>0</v>
      </c>
      <c r="F90" s="19"/>
      <c r="G90" s="3">
        <v>280</v>
      </c>
      <c r="H90" s="3"/>
      <c r="I90" s="3"/>
      <c r="J90" s="6">
        <f>IF($A90="","",SUMIF('SD058'!$A:$A,"*"&amp;$A90&amp;"*",'SD058'!$B:$B))</f>
        <v>0</v>
      </c>
      <c r="K90" s="6">
        <f>IF($A90="","",SUMIF('PP055-MO'!$A:$A,"*"&amp;$A90&amp;"*",'PP055-MO'!$B:$B))</f>
        <v>0</v>
      </c>
      <c r="L90" s="6">
        <f>IF($A90="","",SUMIF('PP055-MO'!$A:$A,"*"&amp;$A90&amp;"*",'PP055-MO'!$C:$C))</f>
        <v>0</v>
      </c>
      <c r="M90" s="6">
        <f>IF($A90="","",SUMIF('PP055-OW'!$A:$A,"*"&amp;$A90&amp;"*",'PP055-OW'!$B:$B))</f>
        <v>0</v>
      </c>
      <c r="N90" s="10" t="str">
        <f t="shared" si="14"/>
        <v/>
      </c>
      <c r="O90" s="19">
        <f>IF($A90="","",SUMIF('WM014'!$A:$A,"*"&amp;$A90&amp;"*",'WM014'!$B:$B))</f>
        <v>0</v>
      </c>
      <c r="P90" s="19">
        <f t="shared" si="16"/>
        <v>0</v>
      </c>
      <c r="Q90" s="41"/>
      <c r="R90" s="41"/>
      <c r="S90" s="41"/>
      <c r="T90" s="41"/>
      <c r="U90" s="41"/>
      <c r="V90" s="41"/>
      <c r="W90" s="41"/>
      <c r="X90" s="41"/>
      <c r="Y90" s="41"/>
    </row>
    <row r="91" spans="1:25">
      <c r="A91" s="15" t="s">
        <v>139</v>
      </c>
      <c r="B91" s="15" t="s">
        <v>116</v>
      </c>
      <c r="C91" s="6"/>
      <c r="D91" s="3">
        <v>1.1000000000000001</v>
      </c>
      <c r="E91" s="7">
        <f t="shared" si="17"/>
        <v>0</v>
      </c>
      <c r="F91" s="19"/>
      <c r="G91" s="3">
        <v>200</v>
      </c>
      <c r="H91" s="3"/>
      <c r="I91" s="3"/>
      <c r="J91" s="6">
        <f>IF($A91="","",SUMIF('SD058'!$A:$A,"*"&amp;$A91&amp;"*",'SD058'!$B:$B))</f>
        <v>0</v>
      </c>
      <c r="K91" s="6">
        <f>IF($A91="","",SUMIF('PP055-MO'!$A:$A,"*"&amp;$A91&amp;"*",'PP055-MO'!$B:$B))</f>
        <v>0</v>
      </c>
      <c r="L91" s="6">
        <f>IF($A91="","",SUMIF('PP055-MO'!$A:$A,"*"&amp;$A91&amp;"*",'PP055-MO'!$C:$C))</f>
        <v>0</v>
      </c>
      <c r="M91" s="6">
        <f>IF($A91="","",SUMIF('PP055-OW'!$A:$A,"*"&amp;$A91&amp;"*",'PP055-OW'!$B:$B))</f>
        <v>0</v>
      </c>
      <c r="N91" s="10" t="str">
        <f t="shared" si="14"/>
        <v/>
      </c>
      <c r="O91" s="19">
        <f>IF($A91="","",SUMIF('WM014'!$A:$A,"*"&amp;$A91&amp;"*",'WM014'!$B:$B))</f>
        <v>0</v>
      </c>
      <c r="P91" s="19">
        <f t="shared" si="16"/>
        <v>0</v>
      </c>
      <c r="Q91" s="41"/>
      <c r="R91" s="41"/>
      <c r="S91" s="41"/>
      <c r="T91" s="41"/>
      <c r="U91" s="41"/>
      <c r="V91" s="41"/>
      <c r="W91" s="41"/>
      <c r="X91" s="41"/>
      <c r="Y91" s="41"/>
    </row>
    <row r="92" spans="1:25">
      <c r="A92" s="43"/>
      <c r="B92" s="43"/>
      <c r="C92" s="44"/>
      <c r="D92" s="44"/>
      <c r="E92" s="44"/>
      <c r="F92" s="45"/>
      <c r="G92" s="44"/>
      <c r="H92" s="46"/>
      <c r="I92" s="46"/>
      <c r="J92" s="44"/>
      <c r="K92" s="44"/>
      <c r="L92" s="44"/>
      <c r="M92" s="44"/>
      <c r="N92" s="44"/>
      <c r="O92" s="44"/>
      <c r="P92" s="44"/>
    </row>
    <row r="93" spans="1:25">
      <c r="A93" s="14" t="s">
        <v>58</v>
      </c>
      <c r="B93" s="15" t="s">
        <v>120</v>
      </c>
      <c r="C93" s="6"/>
      <c r="D93" s="3">
        <v>1.1000000000000001</v>
      </c>
      <c r="E93" s="7">
        <f t="shared" si="17"/>
        <v>0</v>
      </c>
      <c r="F93" s="19"/>
      <c r="G93" s="3">
        <v>280</v>
      </c>
      <c r="H93" s="3">
        <v>2</v>
      </c>
      <c r="I93" s="3">
        <v>0</v>
      </c>
      <c r="J93" s="6">
        <f>IF($A93="","",SUMIF('SD058'!$A:$A,"*"&amp;$A93&amp;"*",'SD058'!$B:$B))</f>
        <v>0</v>
      </c>
      <c r="K93" s="6">
        <f>IF($A93="","",SUMIF('PP055-MO'!$A:$A,"*"&amp;$A93&amp;"*",'PP055-MO'!$B:$B))</f>
        <v>0</v>
      </c>
      <c r="L93" s="6">
        <f>IF($A93="","",SUMIF('PP055-MO'!$A:$A,"*"&amp;$A93&amp;"*",'PP055-MO'!$C:$C))</f>
        <v>0</v>
      </c>
      <c r="M93" s="6">
        <f>IF($A93="","",SUMIF('PP055-OW'!$A:$A,"*"&amp;$A93&amp;"*",'PP055-OW'!$B:$B))</f>
        <v>0</v>
      </c>
      <c r="N93" s="10">
        <f t="shared" ref="N93:N111" si="30">IFERROR(M93/(G93*H93),"")</f>
        <v>0</v>
      </c>
      <c r="O93" s="19">
        <f>IF($A93="","",SUMIF('WM014'!$A:$A,"*"&amp;$A93&amp;"*",'WM014'!$B:$B))</f>
        <v>0</v>
      </c>
      <c r="P93" s="19">
        <f t="shared" ref="P93:P111" si="31">J93-K93</f>
        <v>0</v>
      </c>
      <c r="Q93" s="41"/>
      <c r="R93" s="41"/>
      <c r="S93" s="41"/>
      <c r="T93" s="41"/>
      <c r="U93" s="41"/>
      <c r="V93" s="41"/>
      <c r="W93" s="41"/>
      <c r="X93" s="41"/>
      <c r="Y93" s="41"/>
    </row>
    <row r="94" spans="1:25">
      <c r="A94" s="14" t="s">
        <v>88</v>
      </c>
      <c r="B94" s="15" t="s">
        <v>120</v>
      </c>
      <c r="C94" s="6"/>
      <c r="D94" s="3">
        <v>1.1000000000000001</v>
      </c>
      <c r="E94" s="7">
        <f t="shared" si="17"/>
        <v>0</v>
      </c>
      <c r="F94" s="19"/>
      <c r="G94" s="3">
        <v>250</v>
      </c>
      <c r="H94" s="3">
        <v>1</v>
      </c>
      <c r="I94" s="3">
        <v>0</v>
      </c>
      <c r="J94" s="6">
        <f>IF($A94="","",SUMIF('SD058'!$A:$A,"*"&amp;$A94&amp;"*",'SD058'!$B:$B))</f>
        <v>0</v>
      </c>
      <c r="K94" s="6">
        <f>IF($A94="","",SUMIF('PP055-MO'!$A:$A,"*"&amp;$A94&amp;"*",'PP055-MO'!$B:$B))</f>
        <v>0</v>
      </c>
      <c r="L94" s="6">
        <f>IF($A94="","",SUMIF('PP055-MO'!$A:$A,"*"&amp;$A94&amp;"*",'PP055-MO'!$C:$C))</f>
        <v>0</v>
      </c>
      <c r="M94" s="6">
        <f>IF($A94="","",SUMIF('PP055-OW'!$A:$A,"*"&amp;$A94&amp;"*",'PP055-OW'!$B:$B))</f>
        <v>0</v>
      </c>
      <c r="N94" s="10">
        <f t="shared" si="30"/>
        <v>0</v>
      </c>
      <c r="O94" s="19">
        <f>IF($A94="","",SUMIF('WM014'!$A:$A,"*"&amp;$A94&amp;"*",'WM014'!$B:$B))</f>
        <v>0</v>
      </c>
      <c r="P94" s="19">
        <f t="shared" si="31"/>
        <v>0</v>
      </c>
      <c r="Q94" s="41"/>
      <c r="R94" s="41"/>
      <c r="S94" s="41"/>
      <c r="T94" s="41"/>
      <c r="U94" s="41"/>
      <c r="V94" s="41"/>
      <c r="W94" s="41"/>
      <c r="X94" s="41"/>
      <c r="Y94" s="41"/>
    </row>
    <row r="95" spans="1:25">
      <c r="A95" s="14" t="s">
        <v>219</v>
      </c>
      <c r="B95" s="15" t="s">
        <v>120</v>
      </c>
      <c r="C95" s="6"/>
      <c r="D95" s="3">
        <v>1.1000000000000001</v>
      </c>
      <c r="E95" s="7">
        <f t="shared" si="17"/>
        <v>0</v>
      </c>
      <c r="F95" s="19"/>
      <c r="G95" s="3">
        <v>150</v>
      </c>
      <c r="H95" s="3">
        <v>4</v>
      </c>
      <c r="I95" s="3">
        <v>4</v>
      </c>
      <c r="J95" s="6">
        <f>IF($A95="","",SUMIF('SD058'!$A:$A,"*"&amp;$A95&amp;"*",'SD058'!$B:$B))</f>
        <v>0</v>
      </c>
      <c r="K95" s="6">
        <f>IF($A95="","",SUMIF('PP055-MO'!$A:$A,"*"&amp;$A95&amp;"*",'PP055-MO'!$B:$B))</f>
        <v>0</v>
      </c>
      <c r="L95" s="6">
        <f>IF($A95="","",SUMIF('PP055-MO'!$A:$A,"*"&amp;$A95&amp;"*",'PP055-MO'!$C:$C))</f>
        <v>0</v>
      </c>
      <c r="M95" s="6">
        <f>IF($A95="","",SUMIF('PP055-OW'!$A:$A,"*"&amp;$A95&amp;"*",'PP055-OW'!$B:$B))</f>
        <v>0</v>
      </c>
      <c r="N95" s="10">
        <f t="shared" ref="N95" si="32">IFERROR(M95/(G95*H95),"")</f>
        <v>0</v>
      </c>
      <c r="O95" s="19">
        <f>IF($A95="","",SUMIF('WM014'!$A:$A,"*"&amp;$A95&amp;"*",'WM014'!$B:$B))</f>
        <v>0</v>
      </c>
      <c r="P95" s="19">
        <f t="shared" ref="P95" si="33">J95-K95</f>
        <v>0</v>
      </c>
      <c r="Q95" s="41"/>
      <c r="R95" s="41"/>
      <c r="S95" s="41"/>
      <c r="T95" s="41"/>
      <c r="U95" s="41"/>
      <c r="V95" s="41"/>
      <c r="W95" s="41"/>
      <c r="X95" s="41"/>
      <c r="Y95" s="41"/>
    </row>
    <row r="96" spans="1:25" ht="18" customHeight="1">
      <c r="A96" s="14" t="s">
        <v>195</v>
      </c>
      <c r="B96" s="15" t="s">
        <v>173</v>
      </c>
      <c r="C96" s="6"/>
      <c r="D96" s="3">
        <v>1.1000000000000001</v>
      </c>
      <c r="E96" s="7">
        <f t="shared" si="17"/>
        <v>0</v>
      </c>
      <c r="F96" s="19"/>
      <c r="G96" s="3">
        <v>200</v>
      </c>
      <c r="H96" s="3"/>
      <c r="I96" s="3"/>
      <c r="J96" s="6">
        <f>IF($A96="","",SUMIF('SD058'!$A:$A,"*"&amp;$A96&amp;"*",'SD058'!$B:$B))</f>
        <v>0</v>
      </c>
      <c r="K96" s="6">
        <f>IF($A96="","",SUMIF('PP055-MO'!$A:$A,"*"&amp;$A96&amp;"*",'PP055-MO'!$B:$B))</f>
        <v>0</v>
      </c>
      <c r="L96" s="6">
        <f>IF($A96="","",SUMIF('PP055-MO'!$A:$A,"*"&amp;$A96&amp;"*",'PP055-MO'!$C:$C))</f>
        <v>0</v>
      </c>
      <c r="M96" s="6">
        <f>IF($A96="","",SUMIF('PP055-OW'!$A:$A,"*"&amp;$A96&amp;"*",'PP055-OW'!$B:$B))</f>
        <v>0</v>
      </c>
      <c r="N96" s="10" t="str">
        <f t="shared" si="30"/>
        <v/>
      </c>
      <c r="O96" s="19">
        <f>IF($A96="","",SUMIF('WM014'!$A:$A,"*"&amp;$A96&amp;"*",'WM014'!$B:$B))</f>
        <v>0</v>
      </c>
      <c r="P96" s="19">
        <f t="shared" si="31"/>
        <v>0</v>
      </c>
      <c r="Q96" s="41"/>
      <c r="R96" s="41"/>
      <c r="S96" s="41"/>
      <c r="T96" s="41"/>
      <c r="U96" s="41"/>
      <c r="V96" s="41"/>
      <c r="W96" s="41"/>
      <c r="X96" s="41"/>
      <c r="Y96" s="41"/>
    </row>
    <row r="97" spans="1:25">
      <c r="A97" s="14" t="s">
        <v>196</v>
      </c>
      <c r="B97" s="15" t="s">
        <v>173</v>
      </c>
      <c r="C97" s="6"/>
      <c r="D97" s="3">
        <v>1.1000000000000001</v>
      </c>
      <c r="E97" s="7">
        <f t="shared" si="17"/>
        <v>0</v>
      </c>
      <c r="F97" s="19"/>
      <c r="G97" s="3">
        <v>190</v>
      </c>
      <c r="H97" s="3">
        <v>1</v>
      </c>
      <c r="I97" s="3">
        <v>1</v>
      </c>
      <c r="J97" s="6">
        <f>IF($A97="","",SUMIF('SD058'!$A:$A,"*"&amp;$A97&amp;"*",'SD058'!$B:$B))</f>
        <v>0</v>
      </c>
      <c r="K97" s="6">
        <f>IF($A97="","",SUMIF('PP055-MO'!$A:$A,"*"&amp;$A97&amp;"*",'PP055-MO'!$B:$B))</f>
        <v>0</v>
      </c>
      <c r="L97" s="6">
        <f>IF($A97="","",SUMIF('PP055-MO'!$A:$A,"*"&amp;$A97&amp;"*",'PP055-MO'!$C:$C))</f>
        <v>0</v>
      </c>
      <c r="M97" s="6">
        <f>IF($A97="","",SUMIF('PP055-OW'!$A:$A,"*"&amp;$A97&amp;"*",'PP055-OW'!$B:$B))</f>
        <v>0</v>
      </c>
      <c r="N97" s="10">
        <f t="shared" si="30"/>
        <v>0</v>
      </c>
      <c r="O97" s="19">
        <f>IF($A97="","",SUMIF('WM014'!$A:$A,"*"&amp;$A97&amp;"*",'WM014'!$B:$B))</f>
        <v>0</v>
      </c>
      <c r="P97" s="19">
        <f t="shared" si="31"/>
        <v>0</v>
      </c>
      <c r="Q97" s="41"/>
      <c r="R97" s="41"/>
      <c r="S97" s="41"/>
      <c r="T97" s="41"/>
      <c r="U97" s="41"/>
      <c r="V97" s="41"/>
      <c r="W97" s="41"/>
      <c r="X97" s="41"/>
      <c r="Y97" s="41"/>
    </row>
    <row r="98" spans="1:25">
      <c r="A98" s="14" t="s">
        <v>55</v>
      </c>
      <c r="B98" s="15" t="s">
        <v>123</v>
      </c>
      <c r="C98" s="6"/>
      <c r="D98" s="3">
        <v>1.1000000000000001</v>
      </c>
      <c r="E98" s="7">
        <f t="shared" si="17"/>
        <v>0</v>
      </c>
      <c r="F98" s="19"/>
      <c r="G98" s="3">
        <v>200</v>
      </c>
      <c r="H98" s="3"/>
      <c r="I98" s="3"/>
      <c r="J98" s="6">
        <f>IF($A98="","",SUMIF('SD058'!$A:$A,"*"&amp;$A98&amp;"*",'SD058'!$B:$B))</f>
        <v>0</v>
      </c>
      <c r="K98" s="6">
        <f>IF($A98="","",SUMIF('PP055-MO'!$A:$A,"*"&amp;$A98&amp;"*",'PP055-MO'!$B:$B))</f>
        <v>0</v>
      </c>
      <c r="L98" s="6">
        <f>IF($A98="","",SUMIF('PP055-MO'!$A:$A,"*"&amp;$A98&amp;"*",'PP055-MO'!$C:$C))</f>
        <v>0</v>
      </c>
      <c r="M98" s="6">
        <f>IF($A98="","",SUMIF('PP055-OW'!$A:$A,"*"&amp;$A98&amp;"*",'PP055-OW'!$B:$B))</f>
        <v>0</v>
      </c>
      <c r="N98" s="10" t="str">
        <f t="shared" si="30"/>
        <v/>
      </c>
      <c r="O98" s="19">
        <f>IF($A98="","",SUMIF('WM014'!$A:$A,"*"&amp;$A98&amp;"*",'WM014'!$B:$B))</f>
        <v>0</v>
      </c>
      <c r="P98" s="19">
        <f t="shared" si="31"/>
        <v>0</v>
      </c>
      <c r="Q98" s="41"/>
      <c r="R98" s="41"/>
      <c r="S98" s="41"/>
      <c r="T98" s="41"/>
      <c r="U98" s="41"/>
      <c r="V98" s="41"/>
      <c r="W98" s="41"/>
      <c r="X98" s="41"/>
      <c r="Y98" s="41"/>
    </row>
    <row r="99" spans="1:25">
      <c r="A99" s="14" t="s">
        <v>168</v>
      </c>
      <c r="B99" s="15" t="s">
        <v>117</v>
      </c>
      <c r="C99" s="6"/>
      <c r="D99" s="3">
        <v>1.1000000000000001</v>
      </c>
      <c r="E99" s="7">
        <f t="shared" si="17"/>
        <v>0</v>
      </c>
      <c r="F99" s="19"/>
      <c r="G99" s="3">
        <v>180</v>
      </c>
      <c r="H99" s="3"/>
      <c r="I99" s="3"/>
      <c r="J99" s="6">
        <f>IF($A99="","",SUMIF('SD058'!$A:$A,"*"&amp;$A99&amp;"*",'SD058'!$B:$B))</f>
        <v>0</v>
      </c>
      <c r="K99" s="6">
        <f>IF($A99="","",SUMIF('PP055-MO'!$A:$A,"*"&amp;$A99&amp;"*",'PP055-MO'!$B:$B))</f>
        <v>0</v>
      </c>
      <c r="L99" s="6">
        <f>IF($A99="","",SUMIF('PP055-MO'!$A:$A,"*"&amp;$A99&amp;"*",'PP055-MO'!$C:$C))</f>
        <v>0</v>
      </c>
      <c r="M99" s="6">
        <f>IF($A99="","",SUMIF('PP055-OW'!$A:$A,"*"&amp;$A99&amp;"*",'PP055-OW'!$B:$B))</f>
        <v>0</v>
      </c>
      <c r="N99" s="10" t="str">
        <f t="shared" si="30"/>
        <v/>
      </c>
      <c r="O99" s="19">
        <f>IF($A99="","",SUMIF('WM014'!$A:$A,"*"&amp;$A99&amp;"*",'WM014'!$B:$B))</f>
        <v>0</v>
      </c>
      <c r="P99" s="19">
        <f t="shared" si="31"/>
        <v>0</v>
      </c>
      <c r="Q99" s="41"/>
      <c r="R99" s="41"/>
      <c r="S99" s="41"/>
      <c r="T99" s="41"/>
      <c r="U99" s="41"/>
      <c r="V99" s="41"/>
      <c r="W99" s="41"/>
      <c r="X99" s="41"/>
      <c r="Y99" s="41"/>
    </row>
    <row r="100" spans="1:25">
      <c r="A100" s="14" t="s">
        <v>114</v>
      </c>
      <c r="B100" s="15" t="s">
        <v>119</v>
      </c>
      <c r="C100" s="6"/>
      <c r="D100" s="3">
        <v>1.1000000000000001</v>
      </c>
      <c r="E100" s="7">
        <f t="shared" si="17"/>
        <v>0</v>
      </c>
      <c r="F100" s="19"/>
      <c r="G100" s="3">
        <v>250</v>
      </c>
      <c r="H100" s="3"/>
      <c r="I100" s="3"/>
      <c r="J100" s="6">
        <f>IF($A100="","",SUMIF('SD058'!$A:$A,"*"&amp;$A100&amp;"*",'SD058'!$B:$B))</f>
        <v>0</v>
      </c>
      <c r="K100" s="6">
        <f>IF($A100="","",SUMIF('PP055-MO'!$A:$A,"*"&amp;$A100&amp;"*",'PP055-MO'!$B:$B))</f>
        <v>0</v>
      </c>
      <c r="L100" s="6">
        <f>IF($A100="","",SUMIF('PP055-MO'!$A:$A,"*"&amp;$A100&amp;"*",'PP055-MO'!$C:$C))</f>
        <v>0</v>
      </c>
      <c r="M100" s="6">
        <f>IF($A100="","",SUMIF('PP055-OW'!$A:$A,"*"&amp;$A100&amp;"*",'PP055-OW'!$B:$B))</f>
        <v>0</v>
      </c>
      <c r="N100" s="10" t="str">
        <f t="shared" si="30"/>
        <v/>
      </c>
      <c r="O100" s="19">
        <f>IF($A100="","",SUMIF('WM014'!$A:$A,"*"&amp;$A100&amp;"*",'WM014'!$B:$B))</f>
        <v>0</v>
      </c>
      <c r="P100" s="19">
        <f t="shared" si="31"/>
        <v>0</v>
      </c>
      <c r="Q100" s="41"/>
      <c r="R100" s="41"/>
      <c r="S100" s="41"/>
      <c r="T100" s="41"/>
      <c r="U100" s="41"/>
      <c r="V100" s="41"/>
      <c r="W100" s="41"/>
      <c r="X100" s="41"/>
      <c r="Y100" s="41"/>
    </row>
    <row r="101" spans="1:25">
      <c r="A101" s="14" t="s">
        <v>150</v>
      </c>
      <c r="B101" s="15" t="s">
        <v>119</v>
      </c>
      <c r="C101" s="6"/>
      <c r="D101" s="3">
        <v>1.1000000000000001</v>
      </c>
      <c r="E101" s="7">
        <f t="shared" si="17"/>
        <v>0</v>
      </c>
      <c r="F101" s="19"/>
      <c r="G101" s="3">
        <v>200</v>
      </c>
      <c r="H101" s="3">
        <v>1</v>
      </c>
      <c r="I101" s="3">
        <v>0</v>
      </c>
      <c r="J101" s="6">
        <f>IF($A101="","",SUMIF('SD058'!$A:$A,"*"&amp;$A101&amp;"*",'SD058'!$B:$B))</f>
        <v>0</v>
      </c>
      <c r="K101" s="6">
        <f>IF($A101="","",SUMIF('PP055-MO'!$A:$A,"*"&amp;$A101&amp;"*",'PP055-MO'!$B:$B))</f>
        <v>0</v>
      </c>
      <c r="L101" s="6">
        <f>IF($A101="","",SUMIF('PP055-MO'!$A:$A,"*"&amp;$A101&amp;"*",'PP055-MO'!$C:$C))</f>
        <v>0</v>
      </c>
      <c r="M101" s="6">
        <f>IF($A101="","",SUMIF('PP055-OW'!$A:$A,"*"&amp;$A101&amp;"*",'PP055-OW'!$B:$B))</f>
        <v>0</v>
      </c>
      <c r="N101" s="10">
        <f t="shared" si="30"/>
        <v>0</v>
      </c>
      <c r="O101" s="19">
        <f>IF($A101="","",SUMIF('WM014'!$A:$A,"*"&amp;$A101&amp;"*",'WM014'!$B:$B))</f>
        <v>0</v>
      </c>
      <c r="P101" s="19">
        <f t="shared" si="31"/>
        <v>0</v>
      </c>
      <c r="Q101" s="41"/>
      <c r="R101" s="41"/>
      <c r="S101" s="41"/>
      <c r="T101" s="41"/>
      <c r="U101" s="41"/>
      <c r="V101" s="41"/>
      <c r="W101" s="41"/>
      <c r="X101" s="41"/>
      <c r="Y101" s="41"/>
    </row>
    <row r="102" spans="1:25">
      <c r="A102" s="14" t="s">
        <v>69</v>
      </c>
      <c r="B102" s="15" t="s">
        <v>225</v>
      </c>
      <c r="C102" s="6"/>
      <c r="D102" s="3">
        <v>1.1000000000000001</v>
      </c>
      <c r="E102" s="7">
        <f t="shared" si="17"/>
        <v>0</v>
      </c>
      <c r="F102" s="19"/>
      <c r="G102" s="3">
        <v>200</v>
      </c>
      <c r="H102" s="3"/>
      <c r="I102" s="3"/>
      <c r="J102" s="6">
        <f>IF($A102="","",SUMIF('SD058'!$A:$A,"*"&amp;$A102&amp;"*",'SD058'!$B:$B))</f>
        <v>0</v>
      </c>
      <c r="K102" s="6">
        <f>IF($A102="","",SUMIF('PP055-MO'!$A:$A,"*"&amp;$A102&amp;"*",'PP055-MO'!$B:$B))</f>
        <v>0</v>
      </c>
      <c r="L102" s="6">
        <f>IF($A102="","",SUMIF('PP055-MO'!$A:$A,"*"&amp;$A102&amp;"*",'PP055-MO'!$C:$C))</f>
        <v>0</v>
      </c>
      <c r="M102" s="6">
        <f>IF($A102="","",SUMIF('PP055-OW'!$A:$A,"*"&amp;$A102&amp;"*",'PP055-OW'!$B:$B))</f>
        <v>0</v>
      </c>
      <c r="N102" s="10" t="str">
        <f t="shared" si="30"/>
        <v/>
      </c>
      <c r="O102" s="19">
        <f>IF($A102="","",SUMIF('WM014'!$A:$A,"*"&amp;$A102&amp;"*",'WM014'!$B:$B))</f>
        <v>0</v>
      </c>
      <c r="P102" s="19">
        <f t="shared" si="31"/>
        <v>0</v>
      </c>
      <c r="Q102" s="41"/>
      <c r="R102" s="41"/>
      <c r="S102" s="41"/>
      <c r="T102" s="41"/>
      <c r="U102" s="41"/>
      <c r="V102" s="41"/>
      <c r="W102" s="41"/>
      <c r="X102" s="41"/>
      <c r="Y102" s="41"/>
    </row>
    <row r="103" spans="1:25">
      <c r="A103" s="14" t="s">
        <v>224</v>
      </c>
      <c r="B103" s="15" t="s">
        <v>225</v>
      </c>
      <c r="C103" s="6"/>
      <c r="D103" s="3">
        <v>1.1000000000000001</v>
      </c>
      <c r="E103" s="7">
        <f t="shared" si="17"/>
        <v>0</v>
      </c>
      <c r="F103" s="19"/>
      <c r="G103" s="3"/>
      <c r="H103" s="3"/>
      <c r="I103" s="3"/>
      <c r="J103" s="6">
        <f>IF($A103="","",SUMIF('SD058'!$A:$A,"*"&amp;$A103&amp;"*",'SD058'!$B:$B))</f>
        <v>0</v>
      </c>
      <c r="K103" s="6">
        <f>IF($A103="","",SUMIF('PP055-MO'!$A:$A,"*"&amp;$A103&amp;"*",'PP055-MO'!$B:$B))</f>
        <v>0</v>
      </c>
      <c r="L103" s="6">
        <f>IF($A103="","",SUMIF('PP055-MO'!$A:$A,"*"&amp;$A103&amp;"*",'PP055-MO'!$C:$C))</f>
        <v>0</v>
      </c>
      <c r="M103" s="6">
        <f>IF($A103="","",SUMIF('PP055-OW'!$A:$A,"*"&amp;$A103&amp;"*",'PP055-OW'!$B:$B))</f>
        <v>0</v>
      </c>
      <c r="N103" s="10" t="str">
        <f t="shared" ref="N103" si="34">IFERROR(M103/(G103*H103),"")</f>
        <v/>
      </c>
      <c r="O103" s="19">
        <f>IF($A103="","",SUMIF('WM014'!$A:$A,"*"&amp;$A103&amp;"*",'WM014'!$B:$B))</f>
        <v>0</v>
      </c>
      <c r="P103" s="19">
        <f t="shared" ref="P103" si="35">J103-K103</f>
        <v>0</v>
      </c>
      <c r="Q103" s="41"/>
      <c r="R103" s="41"/>
      <c r="S103" s="41"/>
      <c r="T103" s="41"/>
      <c r="U103" s="41"/>
      <c r="V103" s="41"/>
      <c r="W103" s="41"/>
      <c r="X103" s="41"/>
      <c r="Y103" s="41"/>
    </row>
    <row r="104" spans="1:25">
      <c r="A104" s="14" t="s">
        <v>211</v>
      </c>
      <c r="B104" s="15" t="s">
        <v>192</v>
      </c>
      <c r="C104" s="6"/>
      <c r="D104" s="3">
        <v>1.1000000000000001</v>
      </c>
      <c r="E104" s="7">
        <f t="shared" si="17"/>
        <v>0</v>
      </c>
      <c r="F104" s="19"/>
      <c r="G104" s="3"/>
      <c r="H104" s="3"/>
      <c r="I104" s="3"/>
      <c r="J104" s="6">
        <f>IF($A104="","",SUMIF('SD058'!$A:$A,"*"&amp;$A104&amp;"*",'SD058'!$B:$B))</f>
        <v>0</v>
      </c>
      <c r="K104" s="6">
        <f>IF($A104="","",SUMIF('PP055-MO'!$A:$A,"*"&amp;$A104&amp;"*",'PP055-MO'!$B:$B))</f>
        <v>0</v>
      </c>
      <c r="L104" s="6">
        <f>IF($A104="","",SUMIF('PP055-MO'!$A:$A,"*"&amp;$A104&amp;"*",'PP055-MO'!$C:$C))</f>
        <v>0</v>
      </c>
      <c r="M104" s="6">
        <f>IF($A104="","",SUMIF('PP055-OW'!$A:$A,"*"&amp;$A104&amp;"*",'PP055-OW'!$B:$B))</f>
        <v>0</v>
      </c>
      <c r="N104" s="10" t="str">
        <f t="shared" ref="N104" si="36">IFERROR(M104/(G104*H104),"")</f>
        <v/>
      </c>
      <c r="O104" s="19">
        <f>IF($A104="","",SUMIF('WM014'!$A:$A,"*"&amp;$A104&amp;"*",'WM014'!$B:$B))</f>
        <v>0</v>
      </c>
      <c r="P104" s="19">
        <f t="shared" ref="P104" si="37">J104-K104</f>
        <v>0</v>
      </c>
      <c r="Q104" s="41"/>
      <c r="R104" s="41"/>
      <c r="S104" s="41"/>
      <c r="T104" s="41"/>
      <c r="U104" s="41"/>
      <c r="V104" s="41"/>
      <c r="W104" s="41"/>
      <c r="X104" s="41"/>
      <c r="Y104" s="41"/>
    </row>
    <row r="105" spans="1:25">
      <c r="A105" s="14" t="s">
        <v>152</v>
      </c>
      <c r="B105" s="15" t="s">
        <v>153</v>
      </c>
      <c r="C105" s="6"/>
      <c r="D105" s="3">
        <v>1.1000000000000001</v>
      </c>
      <c r="E105" s="7">
        <f t="shared" si="17"/>
        <v>0</v>
      </c>
      <c r="F105" s="19"/>
      <c r="G105" s="3">
        <v>120</v>
      </c>
      <c r="H105" s="3"/>
      <c r="I105" s="3"/>
      <c r="J105" s="6">
        <f>IF($A105="","",SUMIF('SD058'!$A:$A,"*"&amp;$A105&amp;"*",'SD058'!$B:$B))</f>
        <v>0</v>
      </c>
      <c r="K105" s="6">
        <f>IF($A105="","",SUMIF('PP055-MO'!$A:$A,"*"&amp;$A105&amp;"*",'PP055-MO'!$B:$B))</f>
        <v>0</v>
      </c>
      <c r="L105" s="6">
        <f>IF($A105="","",SUMIF('PP055-MO'!$A:$A,"*"&amp;$A105&amp;"*",'PP055-MO'!$C:$C))</f>
        <v>0</v>
      </c>
      <c r="M105" s="6">
        <f>IF($A105="","",SUMIF('PP055-OW'!$A:$A,"*"&amp;$A105&amp;"*",'PP055-OW'!$B:$B))</f>
        <v>0</v>
      </c>
      <c r="N105" s="10" t="str">
        <f t="shared" si="30"/>
        <v/>
      </c>
      <c r="O105" s="19">
        <f>IF($A105="","",SUMIF('WM014'!$A:$A,"*"&amp;$A105&amp;"*",'WM014'!$B:$B))</f>
        <v>0</v>
      </c>
      <c r="P105" s="19">
        <f t="shared" si="31"/>
        <v>0</v>
      </c>
      <c r="R105" s="41"/>
      <c r="S105" s="41"/>
      <c r="T105" s="41"/>
      <c r="U105" s="41"/>
      <c r="V105" s="41"/>
      <c r="W105" s="41"/>
    </row>
    <row r="106" spans="1:25">
      <c r="A106" s="14" t="s">
        <v>228</v>
      </c>
      <c r="B106" s="15" t="s">
        <v>205</v>
      </c>
      <c r="C106" s="6"/>
      <c r="D106" s="3">
        <v>1.1000000000000001</v>
      </c>
      <c r="E106" s="7">
        <f t="shared" si="17"/>
        <v>0</v>
      </c>
      <c r="F106" s="19"/>
      <c r="G106" s="3"/>
      <c r="H106" s="3">
        <v>1</v>
      </c>
      <c r="I106" s="3">
        <v>0</v>
      </c>
      <c r="J106" s="6">
        <f>IF($A106="","",SUMIF('SD058'!$A:$A,"*"&amp;$A106&amp;"*",'SD058'!$B:$B))</f>
        <v>0</v>
      </c>
      <c r="K106" s="6">
        <f>IF($A106="","",SUMIF('PP055-MO'!$A:$A,"*"&amp;$A106&amp;"*",'PP055-MO'!$B:$B))</f>
        <v>0</v>
      </c>
      <c r="L106" s="6">
        <f>IF($A106="","",SUMIF('PP055-MO'!$A:$A,"*"&amp;$A106&amp;"*",'PP055-MO'!$C:$C))</f>
        <v>0</v>
      </c>
      <c r="M106" s="6">
        <f>IF($A106="","",SUMIF('PP055-OW'!$A:$A,"*"&amp;$A106&amp;"*",'PP055-OW'!$B:$B))</f>
        <v>0</v>
      </c>
      <c r="N106" s="10" t="str">
        <f t="shared" ref="N106" si="38">IFERROR(M106/(G106*H106),"")</f>
        <v/>
      </c>
      <c r="O106" s="19">
        <f>IF($A106="","",SUMIF('WM014'!$A:$A,"*"&amp;$A106&amp;"*",'WM014'!$B:$B))</f>
        <v>0</v>
      </c>
      <c r="P106" s="19">
        <f t="shared" ref="P106" si="39">J106-K106</f>
        <v>0</v>
      </c>
      <c r="R106" s="41"/>
      <c r="S106" s="41"/>
      <c r="T106" s="41"/>
      <c r="U106" s="41"/>
      <c r="V106" s="41"/>
      <c r="W106" s="41"/>
    </row>
    <row r="107" spans="1:25">
      <c r="A107" s="14" t="s">
        <v>179</v>
      </c>
      <c r="B107" s="15" t="s">
        <v>205</v>
      </c>
      <c r="C107" s="6"/>
      <c r="D107" s="3">
        <v>1.1000000000000001</v>
      </c>
      <c r="E107" s="7">
        <f t="shared" si="17"/>
        <v>0</v>
      </c>
      <c r="F107" s="19"/>
      <c r="G107" s="3"/>
      <c r="H107" s="3"/>
      <c r="I107" s="3"/>
      <c r="J107" s="6">
        <f>IF($A107="","",SUMIF('SD058'!$A:$A,"*"&amp;$A107&amp;"*",'SD058'!$B:$B))</f>
        <v>0</v>
      </c>
      <c r="K107" s="6">
        <f>IF($A107="","",SUMIF('PP055-MO'!$A:$A,"*"&amp;$A107&amp;"*",'PP055-MO'!$B:$B))</f>
        <v>0</v>
      </c>
      <c r="L107" s="6">
        <f>IF($A107="","",SUMIF('PP055-MO'!$A:$A,"*"&amp;$A107&amp;"*",'PP055-MO'!$C:$C))</f>
        <v>0</v>
      </c>
      <c r="M107" s="6">
        <f>IF($A107="","",SUMIF('PP055-OW'!$A:$A,"*"&amp;$A107&amp;"*",'PP055-OW'!$B:$B))</f>
        <v>0</v>
      </c>
      <c r="N107" s="10" t="str">
        <f t="shared" si="30"/>
        <v/>
      </c>
      <c r="O107" s="19">
        <f>IF($A107="","",SUMIF('WM014'!$A:$A,"*"&amp;$A107&amp;"*",'WM014'!$B:$B))</f>
        <v>0</v>
      </c>
      <c r="P107" s="19">
        <f t="shared" si="31"/>
        <v>0</v>
      </c>
      <c r="R107" s="41"/>
      <c r="S107" s="41"/>
      <c r="T107" s="41"/>
      <c r="U107" s="41"/>
      <c r="V107" s="41"/>
      <c r="W107" s="41"/>
    </row>
    <row r="108" spans="1:25">
      <c r="A108" s="14" t="s">
        <v>216</v>
      </c>
      <c r="B108" s="15" t="s">
        <v>117</v>
      </c>
      <c r="C108" s="6"/>
      <c r="D108" s="3">
        <v>1.1000000000000001</v>
      </c>
      <c r="E108" s="7">
        <f t="shared" si="17"/>
        <v>0</v>
      </c>
      <c r="F108" s="19"/>
      <c r="G108" s="3">
        <v>200</v>
      </c>
      <c r="H108" s="3"/>
      <c r="I108" s="3"/>
      <c r="J108" s="6">
        <f>IF($A108="","",SUMIF('SD058'!$A:$A,"*"&amp;$A108&amp;"*",'SD058'!$B:$B))</f>
        <v>0</v>
      </c>
      <c r="K108" s="6">
        <f>IF($A108="","",SUMIF('PP055-MO'!$A:$A,"*"&amp;$A108&amp;"*",'PP055-MO'!$B:$B))</f>
        <v>0</v>
      </c>
      <c r="L108" s="6">
        <f>IF($A108="","",SUMIF('PP055-MO'!$A:$A,"*"&amp;$A108&amp;"*",'PP055-MO'!$C:$C))</f>
        <v>0</v>
      </c>
      <c r="M108" s="6">
        <f>IF($A108="","",SUMIF('PP055-OW'!$A:$A,"*"&amp;$A108&amp;"*",'PP055-OW'!$B:$B))</f>
        <v>0</v>
      </c>
      <c r="N108" s="10" t="str">
        <f t="shared" ref="N108" si="40">IFERROR(M108/(G108*H108),"")</f>
        <v/>
      </c>
      <c r="O108" s="19">
        <f>IF($A108="","",SUMIF('WM014'!$A:$A,"*"&amp;$A108&amp;"*",'WM014'!$B:$B))</f>
        <v>0</v>
      </c>
      <c r="P108" s="19">
        <f t="shared" ref="P108" si="41">J108-K108</f>
        <v>0</v>
      </c>
      <c r="R108" s="41"/>
      <c r="S108" s="41"/>
      <c r="T108" s="41"/>
      <c r="U108" s="41"/>
      <c r="V108" s="41"/>
      <c r="W108" s="41"/>
    </row>
    <row r="109" spans="1:25">
      <c r="A109" s="14" t="s">
        <v>155</v>
      </c>
      <c r="B109" s="15" t="s">
        <v>120</v>
      </c>
      <c r="C109" s="6"/>
      <c r="D109" s="3">
        <v>1.08</v>
      </c>
      <c r="E109" s="7">
        <f t="shared" si="17"/>
        <v>0</v>
      </c>
      <c r="F109" s="19"/>
      <c r="G109" s="3">
        <v>100</v>
      </c>
      <c r="H109" s="3">
        <v>1</v>
      </c>
      <c r="I109" s="3">
        <v>1</v>
      </c>
      <c r="J109" s="6">
        <f>IF($A109="","",SUMIF('SD058'!$A:$A,"*"&amp;$A109&amp;"*",'SD058'!$B:$B))</f>
        <v>0</v>
      </c>
      <c r="K109" s="6">
        <f>IF($A109="","",SUMIF('PP055-MO'!$A:$A,"*"&amp;$A109&amp;"*",'PP055-MO'!$B:$B))</f>
        <v>0</v>
      </c>
      <c r="L109" s="6">
        <f>IF($A109="","",SUMIF('PP055-MO'!$A:$A,"*"&amp;$A109&amp;"*",'PP055-MO'!$C:$C))</f>
        <v>0</v>
      </c>
      <c r="M109" s="6">
        <f>IF($A109="","",SUMIF('PP055-OW'!$A:$A,"*"&amp;$A109&amp;"*",'PP055-OW'!$B:$B))</f>
        <v>0</v>
      </c>
      <c r="N109" s="10">
        <f t="shared" si="30"/>
        <v>0</v>
      </c>
      <c r="O109" s="19">
        <f>IF($A109="","",SUMIF('WM014'!$A:$A,"*"&amp;$A109&amp;"*",'WM014'!$B:$B))</f>
        <v>0</v>
      </c>
      <c r="P109" s="19">
        <f t="shared" si="31"/>
        <v>0</v>
      </c>
      <c r="R109" s="41"/>
      <c r="S109" s="41"/>
      <c r="T109" s="41"/>
      <c r="U109" s="41"/>
      <c r="V109" s="41"/>
      <c r="W109" s="41"/>
    </row>
    <row r="110" spans="1:25">
      <c r="A110" s="14" t="s">
        <v>170</v>
      </c>
      <c r="B110" s="15" t="s">
        <v>171</v>
      </c>
      <c r="C110" s="6"/>
      <c r="D110" s="3">
        <v>1.1000000000000001</v>
      </c>
      <c r="E110" s="7">
        <f t="shared" si="17"/>
        <v>0</v>
      </c>
      <c r="F110" s="19"/>
      <c r="G110" s="3">
        <v>260</v>
      </c>
      <c r="H110" s="3"/>
      <c r="I110" s="3"/>
      <c r="J110" s="6">
        <f>IF($A110="","",SUMIF('SD058'!$A:$A,"*"&amp;$A110&amp;"*",'SD058'!$B:$B))</f>
        <v>0</v>
      </c>
      <c r="K110" s="6">
        <f>IF($A110="","",SUMIF('PP055-MO'!$A:$A,"*"&amp;$A110&amp;"*",'PP055-MO'!$B:$B))</f>
        <v>0</v>
      </c>
      <c r="L110" s="6">
        <f>IF($A110="","",SUMIF('PP055-MO'!$A:$A,"*"&amp;$A110&amp;"*",'PP055-MO'!$C:$C))</f>
        <v>0</v>
      </c>
      <c r="M110" s="6">
        <f>IF($A110="","",SUMIF('PP055-OW'!$A:$A,"*"&amp;$A110&amp;"*",'PP055-OW'!$B:$B))</f>
        <v>0</v>
      </c>
      <c r="N110" s="10" t="str">
        <f t="shared" si="30"/>
        <v/>
      </c>
      <c r="O110" s="19">
        <f>IF($A110="","",SUMIF('WM014'!$A:$A,"*"&amp;$A110&amp;"*",'WM014'!$B:$B))</f>
        <v>0</v>
      </c>
      <c r="P110" s="19">
        <f t="shared" si="31"/>
        <v>0</v>
      </c>
      <c r="R110" s="41"/>
      <c r="S110" s="41"/>
      <c r="T110" s="41" t="s">
        <v>207</v>
      </c>
      <c r="U110" s="41"/>
      <c r="V110" s="41"/>
      <c r="W110" s="41"/>
    </row>
    <row r="111" spans="1:25">
      <c r="A111" s="14" t="s">
        <v>182</v>
      </c>
      <c r="B111" s="15" t="s">
        <v>173</v>
      </c>
      <c r="C111" s="6"/>
      <c r="D111" s="3">
        <v>1.1000000000000001</v>
      </c>
      <c r="E111" s="7">
        <f t="shared" si="17"/>
        <v>0</v>
      </c>
      <c r="F111" s="19"/>
      <c r="G111" s="3">
        <v>300</v>
      </c>
      <c r="H111" s="3">
        <v>5</v>
      </c>
      <c r="I111" s="3">
        <v>3</v>
      </c>
      <c r="J111" s="6">
        <f>IF($A111="","",SUMIF('SD058'!$A:$A,"*"&amp;$A111&amp;"*",'SD058'!$B:$B))</f>
        <v>0</v>
      </c>
      <c r="K111" s="6">
        <f>IF($A111="","",SUMIF('PP055-MO'!$A:$A,"*"&amp;$A111&amp;"*",'PP055-MO'!$B:$B))</f>
        <v>0</v>
      </c>
      <c r="L111" s="6">
        <f>IF($A111="","",SUMIF('PP055-MO'!$A:$A,"*"&amp;$A111&amp;"*",'PP055-MO'!$C:$C))</f>
        <v>0</v>
      </c>
      <c r="M111" s="6">
        <f>IF($A111="","",SUMIF('PP055-OW'!$A:$A,"*"&amp;$A111&amp;"*",'PP055-OW'!$B:$B))</f>
        <v>0</v>
      </c>
      <c r="N111" s="10">
        <f t="shared" si="30"/>
        <v>0</v>
      </c>
      <c r="O111" s="19">
        <f>IF($A111="","",SUMIF('WM014'!$A:$A,"*"&amp;$A111&amp;"*",'WM014'!$B:$B))</f>
        <v>0</v>
      </c>
      <c r="P111" s="19">
        <f t="shared" si="31"/>
        <v>0</v>
      </c>
      <c r="R111" s="41"/>
      <c r="S111" s="41"/>
      <c r="T111" s="41"/>
      <c r="U111" s="41"/>
      <c r="V111" s="41"/>
      <c r="W111" s="41"/>
    </row>
    <row r="112" spans="1:25">
      <c r="A112" s="14" t="s">
        <v>214</v>
      </c>
      <c r="B112" s="15" t="s">
        <v>215</v>
      </c>
      <c r="C112" s="6"/>
      <c r="D112" s="3">
        <v>1.1000000000000001</v>
      </c>
      <c r="E112" s="7">
        <f t="shared" si="17"/>
        <v>0</v>
      </c>
      <c r="F112" s="19"/>
      <c r="G112" s="3">
        <v>170</v>
      </c>
      <c r="H112" s="3">
        <v>2</v>
      </c>
      <c r="I112" s="3">
        <v>1</v>
      </c>
      <c r="J112" s="6">
        <f>IF($A112="","",SUMIF('SD058'!$A:$A,"*"&amp;$A112&amp;"*",'SD058'!$B:$B))</f>
        <v>0</v>
      </c>
      <c r="K112" s="6">
        <f>IF($A112="","",SUMIF('PP055-MO'!$A:$A,"*"&amp;$A112&amp;"*",'PP055-MO'!$B:$B))</f>
        <v>0</v>
      </c>
      <c r="L112" s="6">
        <f>IF($A112="","",SUMIF('PP055-MO'!$A:$A,"*"&amp;$A112&amp;"*",'PP055-MO'!$C:$C))</f>
        <v>0</v>
      </c>
      <c r="M112" s="6">
        <f>IF($A112="","",SUMIF('PP055-OW'!$A:$A,"*"&amp;$A112&amp;"*",'PP055-OW'!$B:$B))</f>
        <v>0</v>
      </c>
      <c r="N112" s="10">
        <f t="shared" ref="N112" si="42">IFERROR(M112/(G112*H112),"")</f>
        <v>0</v>
      </c>
      <c r="O112" s="19">
        <f>IF($A112="","",SUMIF('WM014'!$A:$A,"*"&amp;$A112&amp;"*",'WM014'!$B:$B))</f>
        <v>0</v>
      </c>
      <c r="P112" s="19">
        <f t="shared" ref="P112" si="43">J112-K112</f>
        <v>0</v>
      </c>
      <c r="R112" s="41"/>
      <c r="S112" s="41"/>
      <c r="T112" s="41"/>
      <c r="U112" s="41"/>
      <c r="V112" s="41"/>
      <c r="W112" s="41"/>
    </row>
    <row r="113" spans="17:20">
      <c r="Q113" s="41"/>
      <c r="R113" s="41"/>
      <c r="S113" s="41"/>
    </row>
    <row r="114" spans="17:20">
      <c r="Q114" s="41"/>
      <c r="R114" s="41"/>
      <c r="S114"/>
      <c r="T114"/>
    </row>
    <row r="115" spans="17:20">
      <c r="Q115" s="41"/>
      <c r="R115" s="41"/>
      <c r="S115"/>
      <c r="T115"/>
    </row>
    <row r="116" spans="17:20">
      <c r="Q116" s="41"/>
      <c r="R116" s="41"/>
      <c r="S116"/>
      <c r="T116"/>
    </row>
    <row r="117" spans="17:20">
      <c r="Q117" s="41"/>
      <c r="R117" s="41"/>
      <c r="S117"/>
      <c r="T117"/>
    </row>
    <row r="118" spans="17:20">
      <c r="Q118" s="41"/>
      <c r="R118" s="41"/>
      <c r="S118"/>
      <c r="T118"/>
    </row>
    <row r="119" spans="17:20">
      <c r="Q119" s="41"/>
      <c r="R119" s="41"/>
      <c r="S119" s="41"/>
    </row>
    <row r="120" spans="17:20">
      <c r="Q120" s="41"/>
      <c r="R120" s="41"/>
    </row>
  </sheetData>
  <conditionalFormatting sqref="T8:T9">
    <cfRule type="duplicateValues" dxfId="5" priority="92"/>
  </conditionalFormatting>
  <conditionalFormatting sqref="T7">
    <cfRule type="duplicateValues" dxfId="4" priority="101"/>
  </conditionalFormatting>
  <conditionalFormatting sqref="S17:T17">
    <cfRule type="notContainsBlanks" dxfId="3" priority="4">
      <formula>LEN(TRIM(S17))&gt;0</formula>
    </cfRule>
  </conditionalFormatting>
  <conditionalFormatting sqref="T49:U49 T53:U53 T57:U57">
    <cfRule type="notContainsBlanks" dxfId="2" priority="3">
      <formula>LEN(TRIM(T49))&gt;0</formula>
    </cfRule>
  </conditionalFormatting>
  <conditionalFormatting sqref="Y52:Z52 Y56:Z56">
    <cfRule type="notContainsBlanks" dxfId="1" priority="2">
      <formula>LEN(TRIM(Y52))&gt;0</formula>
    </cfRule>
  </conditionalFormatting>
  <conditionalFormatting sqref="T30:U30 T39:U39 T44:U44">
    <cfRule type="notContainsBlanks" dxfId="0" priority="1">
      <formula>LEN(TRIM(T30))&gt;0</formula>
    </cfRule>
  </conditionalFormatting>
  <pageMargins left="0.7" right="0.7" top="0.75" bottom="0.75" header="0.3" footer="0.3"/>
  <pageSetup paperSize="9" scale="2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SpecificSheetsData">
                <anchor>
                  <from>
                    <xdr:col>13</xdr:col>
                    <xdr:colOff>695325</xdr:colOff>
                    <xdr:row>0</xdr:row>
                    <xdr:rowOff>9525</xdr:rowOff>
                  </from>
                  <to>
                    <xdr:col>15</xdr:col>
                    <xdr:colOff>66675</xdr:colOff>
                    <xdr:row>0</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B54"/>
  <sheetViews>
    <sheetView workbookViewId="0"/>
  </sheetViews>
  <sheetFormatPr defaultRowHeight="14.25"/>
  <cols>
    <col min="1" max="1" width="13" style="16" bestFit="1" customWidth="1"/>
    <col min="2" max="2" width="14.125" style="16" bestFit="1" customWidth="1"/>
  </cols>
  <sheetData>
    <row r="1" spans="1:2">
      <c r="A1" s="22" t="s">
        <v>184</v>
      </c>
      <c r="B1" s="22" t="s">
        <v>185</v>
      </c>
    </row>
    <row r="54" hidden="1"/>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C2531"/>
  <sheetViews>
    <sheetView workbookViewId="0">
      <selection activeCell="D38" sqref="D38"/>
    </sheetView>
  </sheetViews>
  <sheetFormatPr defaultRowHeight="14.25"/>
  <cols>
    <col min="1" max="1" width="13" style="16" bestFit="1" customWidth="1"/>
    <col min="2" max="3" width="14" style="16" bestFit="1" customWidth="1"/>
  </cols>
  <sheetData>
    <row r="1" spans="1:3" ht="57">
      <c r="A1" s="22" t="s">
        <v>186</v>
      </c>
      <c r="B1" s="22" t="s">
        <v>187</v>
      </c>
      <c r="C1" s="24" t="s">
        <v>188</v>
      </c>
    </row>
    <row r="2" spans="1:3">
      <c r="B2" s="17"/>
      <c r="C2" s="17"/>
    </row>
    <row r="3" spans="1:3">
      <c r="B3" s="17"/>
      <c r="C3" s="17"/>
    </row>
    <row r="4" spans="1:3">
      <c r="B4" s="17"/>
      <c r="C4" s="17"/>
    </row>
    <row r="5" spans="1:3">
      <c r="B5" s="17"/>
      <c r="C5" s="17"/>
    </row>
    <row r="6" spans="1:3">
      <c r="B6" s="17"/>
      <c r="C6" s="17"/>
    </row>
    <row r="7" spans="1:3">
      <c r="B7" s="17"/>
      <c r="C7" s="17"/>
    </row>
    <row r="8" spans="1:3">
      <c r="B8" s="17"/>
      <c r="C8" s="17"/>
    </row>
    <row r="9" spans="1:3">
      <c r="B9" s="17"/>
      <c r="C9" s="17"/>
    </row>
    <row r="10" spans="1:3">
      <c r="B10" s="17"/>
      <c r="C10" s="17"/>
    </row>
    <row r="11" spans="1:3">
      <c r="B11" s="17"/>
      <c r="C11" s="17"/>
    </row>
    <row r="12" spans="1:3">
      <c r="B12" s="17"/>
      <c r="C12" s="17"/>
    </row>
    <row r="13" spans="1:3">
      <c r="B13" s="17"/>
      <c r="C13" s="17"/>
    </row>
    <row r="14" spans="1:3">
      <c r="B14" s="17"/>
      <c r="C14" s="17"/>
    </row>
    <row r="15" spans="1:3">
      <c r="B15" s="17"/>
      <c r="C15" s="17"/>
    </row>
    <row r="16" spans="1:3">
      <c r="B16" s="17"/>
      <c r="C16" s="17"/>
    </row>
    <row r="17" spans="2:3">
      <c r="B17" s="17"/>
      <c r="C17" s="17"/>
    </row>
    <row r="18" spans="2:3">
      <c r="B18" s="17"/>
      <c r="C18" s="17"/>
    </row>
    <row r="19" spans="2:3">
      <c r="B19" s="17"/>
      <c r="C19" s="17"/>
    </row>
    <row r="20" spans="2:3">
      <c r="B20" s="17"/>
      <c r="C20" s="17"/>
    </row>
    <row r="21" spans="2:3">
      <c r="B21" s="17"/>
      <c r="C21" s="17"/>
    </row>
    <row r="22" spans="2:3">
      <c r="B22" s="17"/>
      <c r="C22" s="17"/>
    </row>
    <row r="23" spans="2:3">
      <c r="B23" s="17"/>
      <c r="C23" s="17"/>
    </row>
    <row r="24" spans="2:3">
      <c r="B24" s="17"/>
      <c r="C24" s="17"/>
    </row>
    <row r="25" spans="2:3">
      <c r="B25" s="17"/>
      <c r="C25" s="17"/>
    </row>
    <row r="26" spans="2:3">
      <c r="B26" s="17"/>
      <c r="C26" s="17"/>
    </row>
    <row r="27" spans="2:3">
      <c r="B27" s="17"/>
      <c r="C27" s="17"/>
    </row>
    <row r="28" spans="2:3">
      <c r="B28" s="17"/>
      <c r="C28" s="17"/>
    </row>
    <row r="29" spans="2:3">
      <c r="B29" s="17"/>
      <c r="C29" s="17"/>
    </row>
    <row r="30" spans="2:3">
      <c r="B30" s="17"/>
      <c r="C30" s="17"/>
    </row>
    <row r="31" spans="2:3">
      <c r="B31" s="17"/>
      <c r="C31" s="17"/>
    </row>
    <row r="32" spans="2:3">
      <c r="B32" s="17"/>
      <c r="C32" s="17"/>
    </row>
    <row r="33" spans="2:3">
      <c r="B33" s="17"/>
      <c r="C33" s="17"/>
    </row>
    <row r="34" spans="2:3">
      <c r="B34" s="17"/>
      <c r="C34" s="17"/>
    </row>
    <row r="35" spans="2:3">
      <c r="B35" s="17"/>
      <c r="C35" s="17"/>
    </row>
    <row r="36" spans="2:3">
      <c r="B36" s="17"/>
      <c r="C36" s="17"/>
    </row>
    <row r="37" spans="2:3">
      <c r="B37" s="17"/>
      <c r="C37" s="17"/>
    </row>
    <row r="38" spans="2:3">
      <c r="B38" s="17"/>
      <c r="C38" s="17"/>
    </row>
    <row r="39" spans="2:3">
      <c r="B39" s="17"/>
      <c r="C39" s="17"/>
    </row>
    <row r="40" spans="2:3">
      <c r="B40" s="17"/>
      <c r="C40" s="17"/>
    </row>
    <row r="41" spans="2:3">
      <c r="B41" s="17"/>
      <c r="C41" s="17"/>
    </row>
    <row r="42" spans="2:3">
      <c r="B42" s="17"/>
      <c r="C42" s="17"/>
    </row>
    <row r="43" spans="2:3">
      <c r="B43" s="17"/>
      <c r="C43" s="17"/>
    </row>
    <row r="44" spans="2:3">
      <c r="B44" s="17"/>
      <c r="C44" s="17"/>
    </row>
    <row r="45" spans="2:3">
      <c r="B45" s="17"/>
      <c r="C45" s="17"/>
    </row>
    <row r="46" spans="2:3">
      <c r="B46" s="17"/>
      <c r="C46" s="17"/>
    </row>
    <row r="47" spans="2:3">
      <c r="B47" s="17"/>
      <c r="C47" s="17"/>
    </row>
    <row r="48" spans="2:3">
      <c r="B48" s="17"/>
      <c r="C48" s="17"/>
    </row>
    <row r="49" spans="2:3">
      <c r="B49" s="17"/>
      <c r="C49" s="17"/>
    </row>
    <row r="50" spans="2:3">
      <c r="B50" s="17"/>
      <c r="C50" s="17"/>
    </row>
    <row r="51" spans="2:3">
      <c r="B51" s="17"/>
      <c r="C51" s="17"/>
    </row>
    <row r="52" spans="2:3">
      <c r="B52" s="17"/>
      <c r="C52" s="17"/>
    </row>
    <row r="53" spans="2:3">
      <c r="B53" s="17"/>
      <c r="C53" s="17"/>
    </row>
    <row r="54" spans="2:3">
      <c r="B54" s="17"/>
      <c r="C54" s="17"/>
    </row>
    <row r="55" spans="2:3">
      <c r="B55" s="17"/>
      <c r="C55" s="17"/>
    </row>
    <row r="56" spans="2:3">
      <c r="B56" s="17"/>
      <c r="C56" s="17"/>
    </row>
    <row r="57" spans="2:3">
      <c r="B57" s="17"/>
      <c r="C57" s="17"/>
    </row>
    <row r="58" spans="2:3">
      <c r="B58" s="17"/>
      <c r="C58" s="17"/>
    </row>
    <row r="59" spans="2:3">
      <c r="B59" s="17"/>
      <c r="C59" s="17"/>
    </row>
    <row r="60" spans="2:3">
      <c r="B60" s="17"/>
      <c r="C60" s="17"/>
    </row>
    <row r="61" spans="2:3">
      <c r="B61" s="17"/>
      <c r="C61" s="17"/>
    </row>
    <row r="62" spans="2:3">
      <c r="B62" s="17"/>
      <c r="C62" s="17"/>
    </row>
    <row r="63" spans="2:3">
      <c r="B63" s="17"/>
      <c r="C63" s="17"/>
    </row>
    <row r="64" spans="2:3">
      <c r="B64" s="17"/>
      <c r="C64" s="17"/>
    </row>
    <row r="65" spans="2:3">
      <c r="B65" s="17"/>
      <c r="C65" s="17"/>
    </row>
    <row r="66" spans="2:3">
      <c r="B66" s="17"/>
      <c r="C66" s="17"/>
    </row>
    <row r="67" spans="2:3">
      <c r="B67" s="17"/>
      <c r="C67" s="17"/>
    </row>
    <row r="68" spans="2:3">
      <c r="B68" s="17"/>
      <c r="C68" s="17"/>
    </row>
    <row r="69" spans="2:3">
      <c r="B69" s="17"/>
      <c r="C69" s="17"/>
    </row>
    <row r="70" spans="2:3">
      <c r="B70" s="17"/>
      <c r="C70" s="17"/>
    </row>
    <row r="71" spans="2:3">
      <c r="B71" s="17"/>
      <c r="C71" s="17"/>
    </row>
    <row r="72" spans="2:3">
      <c r="B72" s="17"/>
      <c r="C72" s="17"/>
    </row>
    <row r="73" spans="2:3">
      <c r="B73" s="17"/>
      <c r="C73" s="17"/>
    </row>
    <row r="74" spans="2:3">
      <c r="B74" s="17"/>
      <c r="C74" s="17"/>
    </row>
    <row r="75" spans="2:3">
      <c r="B75" s="17"/>
      <c r="C75" s="17"/>
    </row>
    <row r="76" spans="2:3">
      <c r="B76" s="17"/>
      <c r="C76" s="17"/>
    </row>
    <row r="77" spans="2:3">
      <c r="B77" s="17"/>
      <c r="C77" s="17"/>
    </row>
    <row r="78" spans="2:3">
      <c r="B78" s="17"/>
      <c r="C78" s="17"/>
    </row>
    <row r="79" spans="2:3">
      <c r="B79" s="17"/>
      <c r="C79" s="17"/>
    </row>
    <row r="80" spans="2:3">
      <c r="B80" s="17"/>
      <c r="C80" s="17"/>
    </row>
    <row r="81" spans="2:3">
      <c r="B81" s="17"/>
      <c r="C81" s="17"/>
    </row>
    <row r="82" spans="2:3">
      <c r="B82" s="17"/>
      <c r="C82" s="17"/>
    </row>
    <row r="83" spans="2:3">
      <c r="B83" s="17"/>
      <c r="C83" s="17"/>
    </row>
    <row r="84" spans="2:3">
      <c r="B84" s="17"/>
      <c r="C84" s="17"/>
    </row>
    <row r="85" spans="2:3">
      <c r="B85" s="17"/>
      <c r="C85" s="17"/>
    </row>
    <row r="86" spans="2:3">
      <c r="B86" s="17"/>
      <c r="C86" s="17"/>
    </row>
    <row r="87" spans="2:3">
      <c r="B87" s="17"/>
      <c r="C87" s="17"/>
    </row>
    <row r="88" spans="2:3">
      <c r="B88" s="17"/>
      <c r="C88" s="17"/>
    </row>
    <row r="89" spans="2:3">
      <c r="B89" s="17"/>
      <c r="C89" s="17"/>
    </row>
    <row r="90" spans="2:3">
      <c r="B90" s="17"/>
      <c r="C90" s="17"/>
    </row>
    <row r="91" spans="2:3">
      <c r="B91" s="17"/>
      <c r="C91" s="17"/>
    </row>
    <row r="92" spans="2:3">
      <c r="B92" s="17"/>
      <c r="C92" s="17"/>
    </row>
    <row r="93" spans="2:3">
      <c r="B93" s="17"/>
      <c r="C93" s="17"/>
    </row>
    <row r="94" spans="2:3">
      <c r="B94" s="17"/>
      <c r="C94" s="17"/>
    </row>
    <row r="95" spans="2:3">
      <c r="B95" s="17"/>
      <c r="C95" s="17"/>
    </row>
    <row r="96" spans="2:3">
      <c r="B96" s="17"/>
      <c r="C96" s="17"/>
    </row>
    <row r="97" spans="2:3">
      <c r="B97" s="17"/>
      <c r="C97" s="17"/>
    </row>
    <row r="98" spans="2:3">
      <c r="B98" s="17"/>
      <c r="C98" s="17"/>
    </row>
    <row r="99" spans="2:3">
      <c r="B99" s="17"/>
      <c r="C99" s="17"/>
    </row>
    <row r="100" spans="2:3">
      <c r="B100" s="17"/>
      <c r="C100" s="17"/>
    </row>
    <row r="101" spans="2:3">
      <c r="B101" s="17"/>
      <c r="C101" s="17"/>
    </row>
    <row r="102" spans="2:3">
      <c r="B102" s="17"/>
      <c r="C102" s="17"/>
    </row>
    <row r="103" spans="2:3">
      <c r="B103" s="17"/>
      <c r="C103" s="17"/>
    </row>
    <row r="104" spans="2:3">
      <c r="B104" s="17"/>
      <c r="C104" s="17"/>
    </row>
    <row r="105" spans="2:3">
      <c r="B105" s="17"/>
      <c r="C105" s="17"/>
    </row>
    <row r="106" spans="2:3">
      <c r="B106" s="17"/>
      <c r="C106" s="17"/>
    </row>
    <row r="107" spans="2:3">
      <c r="B107" s="17"/>
      <c r="C107" s="17"/>
    </row>
    <row r="108" spans="2:3">
      <c r="B108" s="17"/>
      <c r="C108" s="17"/>
    </row>
    <row r="109" spans="2:3">
      <c r="B109" s="17"/>
      <c r="C109" s="17"/>
    </row>
    <row r="110" spans="2:3">
      <c r="B110" s="17"/>
      <c r="C110" s="17"/>
    </row>
    <row r="111" spans="2:3">
      <c r="B111" s="17"/>
      <c r="C111" s="17"/>
    </row>
    <row r="112" spans="2:3">
      <c r="B112" s="17"/>
      <c r="C112" s="17"/>
    </row>
    <row r="113" spans="2:3">
      <c r="B113" s="17"/>
      <c r="C113" s="17"/>
    </row>
    <row r="114" spans="2:3">
      <c r="B114" s="17"/>
      <c r="C114" s="17"/>
    </row>
    <row r="115" spans="2:3">
      <c r="B115" s="17"/>
      <c r="C115" s="17"/>
    </row>
    <row r="116" spans="2:3">
      <c r="B116" s="17"/>
      <c r="C116" s="17"/>
    </row>
    <row r="117" spans="2:3">
      <c r="B117" s="17"/>
      <c r="C117" s="17"/>
    </row>
    <row r="118" spans="2:3">
      <c r="B118" s="17"/>
      <c r="C118" s="17"/>
    </row>
    <row r="119" spans="2:3">
      <c r="B119" s="17"/>
      <c r="C119" s="17"/>
    </row>
    <row r="120" spans="2:3">
      <c r="B120" s="17"/>
      <c r="C120" s="17"/>
    </row>
    <row r="121" spans="2:3">
      <c r="B121" s="17"/>
      <c r="C121" s="17"/>
    </row>
    <row r="122" spans="2:3">
      <c r="B122" s="17"/>
      <c r="C122" s="17"/>
    </row>
    <row r="123" spans="2:3">
      <c r="B123" s="17"/>
      <c r="C123" s="17"/>
    </row>
    <row r="124" spans="2:3">
      <c r="B124" s="17"/>
      <c r="C124" s="17"/>
    </row>
    <row r="125" spans="2:3">
      <c r="B125" s="17"/>
      <c r="C125" s="17"/>
    </row>
    <row r="126" spans="2:3">
      <c r="B126" s="17"/>
      <c r="C126" s="17"/>
    </row>
    <row r="127" spans="2:3">
      <c r="B127" s="17"/>
      <c r="C127" s="17"/>
    </row>
    <row r="128" spans="2:3">
      <c r="B128" s="17"/>
      <c r="C128" s="17"/>
    </row>
    <row r="129" spans="2:3">
      <c r="B129" s="17"/>
      <c r="C129" s="17"/>
    </row>
    <row r="130" spans="2:3">
      <c r="B130" s="17"/>
      <c r="C130" s="17"/>
    </row>
    <row r="131" spans="2:3">
      <c r="B131" s="17"/>
      <c r="C131" s="17"/>
    </row>
    <row r="132" spans="2:3">
      <c r="B132" s="17"/>
      <c r="C132" s="17"/>
    </row>
    <row r="133" spans="2:3">
      <c r="B133" s="17"/>
      <c r="C133" s="17"/>
    </row>
    <row r="134" spans="2:3">
      <c r="B134" s="17"/>
      <c r="C134" s="17"/>
    </row>
    <row r="135" spans="2:3">
      <c r="B135" s="17"/>
      <c r="C135" s="17"/>
    </row>
    <row r="136" spans="2:3">
      <c r="B136" s="17"/>
      <c r="C136" s="17"/>
    </row>
    <row r="137" spans="2:3">
      <c r="B137" s="17"/>
      <c r="C137" s="17"/>
    </row>
    <row r="138" spans="2:3">
      <c r="B138" s="17"/>
      <c r="C138" s="17"/>
    </row>
    <row r="139" spans="2:3">
      <c r="B139" s="17"/>
      <c r="C139" s="17"/>
    </row>
    <row r="140" spans="2:3">
      <c r="B140" s="17"/>
      <c r="C140" s="17"/>
    </row>
    <row r="141" spans="2:3">
      <c r="B141" s="17"/>
      <c r="C141" s="17"/>
    </row>
    <row r="142" spans="2:3">
      <c r="B142" s="17"/>
      <c r="C142" s="17"/>
    </row>
    <row r="143" spans="2:3">
      <c r="B143" s="17"/>
      <c r="C143" s="17"/>
    </row>
    <row r="144" spans="2:3">
      <c r="B144" s="17"/>
      <c r="C144" s="17"/>
    </row>
    <row r="145" spans="2:3">
      <c r="B145" s="17"/>
      <c r="C145" s="17"/>
    </row>
    <row r="146" spans="2:3">
      <c r="B146" s="17"/>
      <c r="C146" s="17"/>
    </row>
    <row r="147" spans="2:3">
      <c r="B147" s="17"/>
      <c r="C147" s="17"/>
    </row>
    <row r="148" spans="2:3">
      <c r="B148" s="17"/>
      <c r="C148" s="17"/>
    </row>
    <row r="149" spans="2:3">
      <c r="B149" s="17"/>
      <c r="C149" s="17"/>
    </row>
    <row r="150" spans="2:3">
      <c r="B150" s="17"/>
      <c r="C150" s="17"/>
    </row>
    <row r="151" spans="2:3">
      <c r="B151" s="17"/>
      <c r="C151" s="17"/>
    </row>
    <row r="152" spans="2:3">
      <c r="B152" s="17"/>
      <c r="C152" s="17"/>
    </row>
    <row r="153" spans="2:3">
      <c r="B153" s="17"/>
      <c r="C153" s="17"/>
    </row>
    <row r="154" spans="2:3">
      <c r="B154" s="17"/>
      <c r="C154" s="17"/>
    </row>
    <row r="155" spans="2:3">
      <c r="B155" s="17"/>
      <c r="C155" s="17"/>
    </row>
    <row r="156" spans="2:3">
      <c r="B156" s="17"/>
      <c r="C156" s="17"/>
    </row>
    <row r="157" spans="2:3">
      <c r="B157" s="17"/>
      <c r="C157" s="17"/>
    </row>
    <row r="158" spans="2:3">
      <c r="B158" s="17"/>
      <c r="C158" s="17"/>
    </row>
    <row r="159" spans="2:3">
      <c r="B159" s="17"/>
      <c r="C159" s="17"/>
    </row>
    <row r="160" spans="2:3">
      <c r="B160" s="17"/>
      <c r="C160" s="17"/>
    </row>
    <row r="161" spans="2:3">
      <c r="B161" s="17"/>
      <c r="C161" s="17"/>
    </row>
    <row r="162" spans="2:3">
      <c r="B162" s="17"/>
      <c r="C162" s="17"/>
    </row>
    <row r="163" spans="2:3">
      <c r="B163" s="17"/>
      <c r="C163" s="17"/>
    </row>
    <row r="164" spans="2:3">
      <c r="B164" s="17"/>
      <c r="C164" s="17"/>
    </row>
    <row r="165" spans="2:3">
      <c r="B165" s="17"/>
      <c r="C165" s="17"/>
    </row>
    <row r="166" spans="2:3">
      <c r="B166" s="17"/>
      <c r="C166" s="17"/>
    </row>
    <row r="167" spans="2:3">
      <c r="B167" s="17"/>
      <c r="C167" s="17"/>
    </row>
    <row r="168" spans="2:3">
      <c r="B168" s="17"/>
      <c r="C168" s="17"/>
    </row>
    <row r="169" spans="2:3">
      <c r="B169" s="17"/>
      <c r="C169" s="17"/>
    </row>
    <row r="170" spans="2:3">
      <c r="B170" s="17"/>
      <c r="C170" s="17"/>
    </row>
    <row r="171" spans="2:3">
      <c r="B171" s="17"/>
      <c r="C171" s="17"/>
    </row>
    <row r="172" spans="2:3">
      <c r="B172" s="17"/>
      <c r="C172" s="17"/>
    </row>
    <row r="173" spans="2:3">
      <c r="B173" s="17"/>
      <c r="C173" s="17"/>
    </row>
    <row r="174" spans="2:3">
      <c r="B174" s="17"/>
      <c r="C174" s="17"/>
    </row>
    <row r="175" spans="2:3">
      <c r="B175" s="17"/>
      <c r="C175" s="17"/>
    </row>
    <row r="176" spans="2:3">
      <c r="B176" s="17"/>
      <c r="C176" s="17"/>
    </row>
    <row r="177" spans="2:3">
      <c r="B177" s="17"/>
      <c r="C177" s="17"/>
    </row>
    <row r="178" spans="2:3">
      <c r="B178" s="17"/>
      <c r="C178" s="17"/>
    </row>
    <row r="179" spans="2:3">
      <c r="B179" s="17"/>
      <c r="C179" s="17"/>
    </row>
    <row r="180" spans="2:3">
      <c r="B180" s="17"/>
      <c r="C180" s="17"/>
    </row>
    <row r="181" spans="2:3">
      <c r="B181" s="17"/>
      <c r="C181" s="17"/>
    </row>
    <row r="182" spans="2:3">
      <c r="B182" s="17"/>
      <c r="C182" s="17"/>
    </row>
    <row r="183" spans="2:3">
      <c r="B183" s="17"/>
      <c r="C183" s="17"/>
    </row>
    <row r="184" spans="2:3">
      <c r="B184" s="17"/>
      <c r="C184" s="17"/>
    </row>
    <row r="185" spans="2:3">
      <c r="B185" s="17"/>
      <c r="C185" s="17"/>
    </row>
    <row r="186" spans="2:3">
      <c r="B186" s="17"/>
      <c r="C186" s="17"/>
    </row>
    <row r="187" spans="2:3">
      <c r="B187" s="17"/>
      <c r="C187" s="17"/>
    </row>
    <row r="188" spans="2:3">
      <c r="B188" s="17"/>
      <c r="C188" s="17"/>
    </row>
    <row r="189" spans="2:3">
      <c r="B189" s="17"/>
      <c r="C189" s="17"/>
    </row>
    <row r="190" spans="2:3">
      <c r="B190" s="17"/>
      <c r="C190" s="17"/>
    </row>
    <row r="191" spans="2:3">
      <c r="B191" s="17"/>
      <c r="C191" s="17"/>
    </row>
    <row r="192" spans="2:3">
      <c r="B192" s="17"/>
      <c r="C192" s="17"/>
    </row>
    <row r="193" spans="2:3">
      <c r="B193" s="17"/>
      <c r="C193" s="17"/>
    </row>
    <row r="194" spans="2:3">
      <c r="B194" s="17"/>
      <c r="C194" s="17"/>
    </row>
    <row r="195" spans="2:3">
      <c r="B195" s="17"/>
      <c r="C195" s="17"/>
    </row>
    <row r="196" spans="2:3">
      <c r="B196" s="17"/>
      <c r="C196" s="17"/>
    </row>
    <row r="197" spans="2:3">
      <c r="B197" s="17"/>
      <c r="C197" s="17"/>
    </row>
    <row r="198" spans="2:3">
      <c r="B198" s="17"/>
      <c r="C198" s="17"/>
    </row>
    <row r="199" spans="2:3">
      <c r="B199" s="17"/>
      <c r="C199" s="17"/>
    </row>
    <row r="200" spans="2:3">
      <c r="B200" s="17"/>
      <c r="C200" s="17"/>
    </row>
    <row r="201" spans="2:3">
      <c r="B201" s="17"/>
      <c r="C201" s="17"/>
    </row>
    <row r="202" spans="2:3">
      <c r="B202" s="17"/>
      <c r="C202" s="17"/>
    </row>
    <row r="203" spans="2:3">
      <c r="B203" s="17"/>
      <c r="C203" s="17"/>
    </row>
    <row r="204" spans="2:3">
      <c r="B204" s="17"/>
      <c r="C204" s="17"/>
    </row>
    <row r="205" spans="2:3">
      <c r="B205" s="17"/>
      <c r="C205" s="17"/>
    </row>
    <row r="206" spans="2:3">
      <c r="B206" s="17"/>
      <c r="C206" s="17"/>
    </row>
    <row r="207" spans="2:3">
      <c r="B207" s="17"/>
      <c r="C207" s="17"/>
    </row>
    <row r="208" spans="2:3">
      <c r="B208" s="17"/>
      <c r="C208" s="17"/>
    </row>
    <row r="209" spans="2:3">
      <c r="B209" s="17"/>
      <c r="C209" s="17"/>
    </row>
    <row r="210" spans="2:3">
      <c r="B210" s="17"/>
      <c r="C210" s="17"/>
    </row>
    <row r="211" spans="2:3">
      <c r="B211" s="17"/>
      <c r="C211" s="17"/>
    </row>
    <row r="212" spans="2:3">
      <c r="B212" s="17"/>
      <c r="C212" s="17"/>
    </row>
    <row r="213" spans="2:3">
      <c r="B213" s="17"/>
      <c r="C213" s="17"/>
    </row>
    <row r="214" spans="2:3">
      <c r="B214" s="17"/>
      <c r="C214" s="17"/>
    </row>
    <row r="215" spans="2:3">
      <c r="B215" s="17"/>
      <c r="C215" s="17"/>
    </row>
    <row r="216" spans="2:3">
      <c r="B216" s="17"/>
      <c r="C216" s="17"/>
    </row>
    <row r="217" spans="2:3">
      <c r="B217" s="17"/>
      <c r="C217" s="17"/>
    </row>
    <row r="218" spans="2:3">
      <c r="B218" s="17"/>
      <c r="C218" s="17"/>
    </row>
    <row r="219" spans="2:3">
      <c r="B219" s="17"/>
      <c r="C219" s="17"/>
    </row>
    <row r="220" spans="2:3">
      <c r="B220" s="17"/>
      <c r="C220" s="17"/>
    </row>
    <row r="221" spans="2:3">
      <c r="B221" s="17"/>
      <c r="C221" s="17"/>
    </row>
    <row r="222" spans="2:3">
      <c r="B222" s="17"/>
      <c r="C222" s="17"/>
    </row>
    <row r="223" spans="2:3">
      <c r="B223" s="17"/>
      <c r="C223" s="17"/>
    </row>
    <row r="224" spans="2:3">
      <c r="B224" s="17"/>
      <c r="C224" s="17"/>
    </row>
    <row r="225" spans="2:3">
      <c r="B225" s="17"/>
      <c r="C225" s="17"/>
    </row>
    <row r="226" spans="2:3">
      <c r="B226" s="17"/>
      <c r="C226" s="17"/>
    </row>
    <row r="227" spans="2:3">
      <c r="B227" s="17"/>
      <c r="C227" s="17"/>
    </row>
    <row r="228" spans="2:3">
      <c r="B228" s="17"/>
      <c r="C228" s="17"/>
    </row>
    <row r="229" spans="2:3">
      <c r="B229" s="17"/>
      <c r="C229" s="17"/>
    </row>
    <row r="230" spans="2:3">
      <c r="B230" s="17"/>
      <c r="C230" s="17"/>
    </row>
    <row r="231" spans="2:3">
      <c r="B231" s="17"/>
      <c r="C231" s="17"/>
    </row>
    <row r="232" spans="2:3">
      <c r="B232" s="17"/>
      <c r="C232" s="17"/>
    </row>
    <row r="233" spans="2:3">
      <c r="B233" s="17"/>
      <c r="C233" s="17"/>
    </row>
    <row r="234" spans="2:3">
      <c r="B234" s="17"/>
      <c r="C234" s="17"/>
    </row>
    <row r="235" spans="2:3">
      <c r="B235" s="17"/>
      <c r="C235" s="17"/>
    </row>
    <row r="236" spans="2:3">
      <c r="B236" s="17"/>
      <c r="C236" s="17"/>
    </row>
    <row r="237" spans="2:3">
      <c r="B237" s="17"/>
      <c r="C237" s="17"/>
    </row>
    <row r="238" spans="2:3">
      <c r="B238" s="17"/>
      <c r="C238" s="17"/>
    </row>
    <row r="239" spans="2:3">
      <c r="B239" s="17"/>
      <c r="C239" s="17"/>
    </row>
    <row r="240" spans="2:3">
      <c r="B240" s="17"/>
      <c r="C240" s="17"/>
    </row>
    <row r="241" spans="2:3">
      <c r="B241" s="17"/>
      <c r="C241" s="17"/>
    </row>
    <row r="242" spans="2:3">
      <c r="B242" s="17"/>
      <c r="C242" s="17"/>
    </row>
    <row r="243" spans="2:3">
      <c r="B243" s="17"/>
      <c r="C243" s="17"/>
    </row>
    <row r="244" spans="2:3">
      <c r="B244" s="17"/>
      <c r="C244" s="17"/>
    </row>
    <row r="245" spans="2:3">
      <c r="B245" s="17"/>
      <c r="C245" s="17"/>
    </row>
    <row r="246" spans="2:3">
      <c r="B246" s="17"/>
      <c r="C246" s="17"/>
    </row>
    <row r="247" spans="2:3">
      <c r="B247" s="17"/>
      <c r="C247" s="17"/>
    </row>
    <row r="248" spans="2:3">
      <c r="B248" s="17"/>
      <c r="C248" s="17"/>
    </row>
    <row r="249" spans="2:3">
      <c r="B249" s="17"/>
      <c r="C249" s="17"/>
    </row>
    <row r="250" spans="2:3">
      <c r="B250" s="17"/>
      <c r="C250" s="17"/>
    </row>
    <row r="251" spans="2:3">
      <c r="B251" s="17"/>
      <c r="C251" s="17"/>
    </row>
    <row r="252" spans="2:3">
      <c r="B252" s="17"/>
      <c r="C252" s="17"/>
    </row>
    <row r="253" spans="2:3">
      <c r="B253" s="17"/>
      <c r="C253" s="17"/>
    </row>
    <row r="254" spans="2:3">
      <c r="B254" s="17"/>
      <c r="C254" s="17"/>
    </row>
    <row r="255" spans="2:3">
      <c r="B255" s="17"/>
      <c r="C255" s="17"/>
    </row>
    <row r="256" spans="2:3">
      <c r="B256" s="17"/>
      <c r="C256" s="17"/>
    </row>
    <row r="257" spans="2:3">
      <c r="B257" s="17"/>
      <c r="C257" s="17"/>
    </row>
    <row r="258" spans="2:3">
      <c r="B258" s="17"/>
      <c r="C258" s="17"/>
    </row>
    <row r="259" spans="2:3">
      <c r="B259" s="17"/>
      <c r="C259" s="17"/>
    </row>
    <row r="260" spans="2:3">
      <c r="B260" s="17"/>
      <c r="C260" s="17"/>
    </row>
    <row r="261" spans="2:3">
      <c r="B261" s="17"/>
      <c r="C261" s="17"/>
    </row>
    <row r="262" spans="2:3">
      <c r="B262" s="17"/>
      <c r="C262" s="17"/>
    </row>
    <row r="263" spans="2:3">
      <c r="B263" s="17"/>
      <c r="C263" s="17"/>
    </row>
    <row r="264" spans="2:3">
      <c r="B264" s="17"/>
      <c r="C264" s="17"/>
    </row>
    <row r="265" spans="2:3">
      <c r="B265" s="17"/>
      <c r="C265" s="17"/>
    </row>
    <row r="266" spans="2:3">
      <c r="B266" s="17"/>
      <c r="C266" s="17"/>
    </row>
    <row r="267" spans="2:3">
      <c r="B267" s="17"/>
      <c r="C267" s="17"/>
    </row>
    <row r="268" spans="2:3">
      <c r="B268" s="17"/>
      <c r="C268" s="17"/>
    </row>
    <row r="269" spans="2:3">
      <c r="B269" s="17"/>
      <c r="C269" s="17"/>
    </row>
    <row r="270" spans="2:3">
      <c r="B270" s="17"/>
      <c r="C270" s="17"/>
    </row>
    <row r="271" spans="2:3">
      <c r="B271" s="17"/>
      <c r="C271" s="17"/>
    </row>
    <row r="272" spans="2:3">
      <c r="B272" s="17"/>
      <c r="C272" s="17"/>
    </row>
    <row r="273" spans="2:3">
      <c r="B273" s="17"/>
      <c r="C273" s="17"/>
    </row>
    <row r="274" spans="2:3">
      <c r="B274" s="17"/>
      <c r="C274" s="17"/>
    </row>
    <row r="275" spans="2:3">
      <c r="B275" s="17"/>
      <c r="C275" s="17"/>
    </row>
    <row r="276" spans="2:3">
      <c r="B276" s="17"/>
      <c r="C276" s="17"/>
    </row>
    <row r="277" spans="2:3">
      <c r="B277" s="17"/>
      <c r="C277" s="17"/>
    </row>
    <row r="278" spans="2:3">
      <c r="B278" s="17"/>
      <c r="C278" s="17"/>
    </row>
    <row r="279" spans="2:3">
      <c r="B279" s="17"/>
      <c r="C279" s="17"/>
    </row>
    <row r="280" spans="2:3">
      <c r="B280" s="17"/>
      <c r="C280" s="17"/>
    </row>
    <row r="281" spans="2:3">
      <c r="B281" s="17"/>
      <c r="C281" s="17"/>
    </row>
    <row r="282" spans="2:3">
      <c r="B282" s="17"/>
      <c r="C282" s="17"/>
    </row>
    <row r="283" spans="2:3">
      <c r="B283" s="17"/>
      <c r="C283" s="17"/>
    </row>
    <row r="284" spans="2:3">
      <c r="B284" s="17"/>
      <c r="C284" s="17"/>
    </row>
    <row r="285" spans="2:3">
      <c r="B285" s="17"/>
      <c r="C285" s="17"/>
    </row>
    <row r="286" spans="2:3">
      <c r="B286" s="17"/>
      <c r="C286" s="17"/>
    </row>
    <row r="287" spans="2:3">
      <c r="B287" s="17"/>
      <c r="C287" s="17"/>
    </row>
    <row r="288" spans="2:3">
      <c r="B288" s="17"/>
      <c r="C288" s="17"/>
    </row>
    <row r="289" spans="2:3">
      <c r="B289" s="17"/>
      <c r="C289" s="17"/>
    </row>
    <row r="290" spans="2:3">
      <c r="B290" s="17"/>
      <c r="C290" s="17"/>
    </row>
    <row r="291" spans="2:3">
      <c r="B291" s="17"/>
      <c r="C291" s="17"/>
    </row>
    <row r="292" spans="2:3">
      <c r="B292" s="17"/>
      <c r="C292" s="17"/>
    </row>
    <row r="293" spans="2:3">
      <c r="B293" s="17"/>
      <c r="C293" s="17"/>
    </row>
    <row r="294" spans="2:3">
      <c r="B294" s="17"/>
      <c r="C294" s="17"/>
    </row>
    <row r="295" spans="2:3">
      <c r="B295" s="17"/>
      <c r="C295" s="17"/>
    </row>
    <row r="296" spans="2:3">
      <c r="B296" s="17"/>
      <c r="C296" s="17"/>
    </row>
    <row r="297" spans="2:3">
      <c r="B297" s="17"/>
      <c r="C297" s="17"/>
    </row>
    <row r="298" spans="2:3">
      <c r="B298" s="17"/>
      <c r="C298" s="17"/>
    </row>
    <row r="299" spans="2:3">
      <c r="B299" s="17"/>
      <c r="C299" s="17"/>
    </row>
    <row r="300" spans="2:3">
      <c r="B300" s="17"/>
      <c r="C300" s="17"/>
    </row>
    <row r="301" spans="2:3">
      <c r="B301" s="17"/>
      <c r="C301" s="17"/>
    </row>
    <row r="302" spans="2:3">
      <c r="B302" s="17"/>
      <c r="C302" s="17"/>
    </row>
    <row r="303" spans="2:3">
      <c r="B303" s="17"/>
      <c r="C303" s="17"/>
    </row>
    <row r="304" spans="2:3">
      <c r="B304" s="17"/>
      <c r="C304" s="17"/>
    </row>
    <row r="305" spans="2:3">
      <c r="B305" s="17"/>
      <c r="C305" s="17"/>
    </row>
    <row r="306" spans="2:3">
      <c r="B306" s="17"/>
      <c r="C306" s="17"/>
    </row>
    <row r="307" spans="2:3">
      <c r="B307" s="17"/>
      <c r="C307" s="17"/>
    </row>
    <row r="308" spans="2:3">
      <c r="B308" s="17"/>
      <c r="C308" s="17"/>
    </row>
    <row r="309" spans="2:3">
      <c r="B309" s="17"/>
      <c r="C309" s="17"/>
    </row>
    <row r="310" spans="2:3">
      <c r="B310" s="17"/>
      <c r="C310" s="17"/>
    </row>
    <row r="311" spans="2:3">
      <c r="B311" s="17"/>
      <c r="C311" s="17"/>
    </row>
    <row r="312" spans="2:3">
      <c r="B312" s="17"/>
      <c r="C312" s="17"/>
    </row>
    <row r="313" spans="2:3">
      <c r="B313" s="17"/>
      <c r="C313" s="17"/>
    </row>
    <row r="314" spans="2:3">
      <c r="B314" s="17"/>
      <c r="C314" s="17"/>
    </row>
    <row r="315" spans="2:3">
      <c r="B315" s="17"/>
      <c r="C315" s="17"/>
    </row>
    <row r="316" spans="2:3">
      <c r="B316" s="17"/>
      <c r="C316" s="17"/>
    </row>
    <row r="317" spans="2:3">
      <c r="B317" s="17"/>
      <c r="C317" s="17"/>
    </row>
    <row r="318" spans="2:3">
      <c r="B318" s="17"/>
      <c r="C318" s="17"/>
    </row>
    <row r="319" spans="2:3">
      <c r="B319" s="17"/>
      <c r="C319" s="17"/>
    </row>
    <row r="320" spans="2:3">
      <c r="B320" s="17"/>
      <c r="C320" s="17"/>
    </row>
    <row r="321" spans="2:3">
      <c r="B321" s="17"/>
      <c r="C321" s="17"/>
    </row>
    <row r="322" spans="2:3">
      <c r="B322" s="17"/>
      <c r="C322" s="17"/>
    </row>
    <row r="323" spans="2:3">
      <c r="B323" s="17"/>
      <c r="C323" s="17"/>
    </row>
    <row r="324" spans="2:3">
      <c r="B324" s="17"/>
      <c r="C324" s="17"/>
    </row>
    <row r="325" spans="2:3">
      <c r="B325" s="17"/>
      <c r="C325" s="17"/>
    </row>
    <row r="326" spans="2:3">
      <c r="B326" s="17"/>
      <c r="C326" s="17"/>
    </row>
    <row r="327" spans="2:3">
      <c r="B327" s="17"/>
      <c r="C327" s="17"/>
    </row>
    <row r="328" spans="2:3">
      <c r="B328" s="17"/>
      <c r="C328" s="17"/>
    </row>
    <row r="329" spans="2:3">
      <c r="B329" s="17"/>
      <c r="C329" s="17"/>
    </row>
    <row r="330" spans="2:3">
      <c r="B330" s="17"/>
      <c r="C330" s="17"/>
    </row>
    <row r="331" spans="2:3">
      <c r="B331" s="17"/>
      <c r="C331" s="17"/>
    </row>
    <row r="332" spans="2:3">
      <c r="B332" s="17"/>
      <c r="C332" s="17"/>
    </row>
    <row r="333" spans="2:3">
      <c r="B333" s="17"/>
      <c r="C333" s="17"/>
    </row>
    <row r="334" spans="2:3">
      <c r="B334" s="17"/>
      <c r="C334" s="17"/>
    </row>
    <row r="335" spans="2:3">
      <c r="B335" s="17"/>
      <c r="C335" s="17"/>
    </row>
    <row r="336" spans="2:3">
      <c r="B336" s="17"/>
      <c r="C336" s="17"/>
    </row>
    <row r="337" spans="2:3">
      <c r="B337" s="17"/>
      <c r="C337" s="17"/>
    </row>
    <row r="338" spans="2:3">
      <c r="B338" s="17"/>
      <c r="C338" s="17"/>
    </row>
    <row r="339" spans="2:3">
      <c r="B339" s="17"/>
      <c r="C339" s="17"/>
    </row>
    <row r="340" spans="2:3">
      <c r="B340" s="17"/>
      <c r="C340" s="17"/>
    </row>
    <row r="341" spans="2:3">
      <c r="B341" s="17"/>
      <c r="C341" s="17"/>
    </row>
    <row r="342" spans="2:3">
      <c r="B342" s="17"/>
      <c r="C342" s="17"/>
    </row>
    <row r="343" spans="2:3">
      <c r="B343" s="17"/>
      <c r="C343" s="17"/>
    </row>
    <row r="344" spans="2:3">
      <c r="B344" s="17"/>
      <c r="C344" s="17"/>
    </row>
    <row r="345" spans="2:3">
      <c r="B345" s="17"/>
      <c r="C345" s="17"/>
    </row>
    <row r="346" spans="2:3">
      <c r="B346" s="17"/>
      <c r="C346" s="17"/>
    </row>
    <row r="347" spans="2:3">
      <c r="B347" s="17"/>
      <c r="C347" s="17"/>
    </row>
    <row r="348" spans="2:3">
      <c r="B348" s="17"/>
      <c r="C348" s="17"/>
    </row>
    <row r="349" spans="2:3">
      <c r="B349" s="17"/>
      <c r="C349" s="17"/>
    </row>
    <row r="350" spans="2:3">
      <c r="B350" s="17"/>
      <c r="C350" s="17"/>
    </row>
    <row r="351" spans="2:3">
      <c r="B351" s="17"/>
      <c r="C351" s="17"/>
    </row>
    <row r="352" spans="2:3">
      <c r="B352" s="17"/>
      <c r="C352" s="17"/>
    </row>
    <row r="353" spans="2:3">
      <c r="B353" s="17"/>
      <c r="C353" s="17"/>
    </row>
    <row r="354" spans="2:3">
      <c r="B354" s="17"/>
      <c r="C354" s="17"/>
    </row>
    <row r="355" spans="2:3">
      <c r="B355" s="17"/>
      <c r="C355" s="17"/>
    </row>
    <row r="356" spans="2:3">
      <c r="B356" s="17"/>
      <c r="C356" s="17"/>
    </row>
    <row r="357" spans="2:3">
      <c r="B357" s="17"/>
      <c r="C357" s="17"/>
    </row>
    <row r="358" spans="2:3">
      <c r="B358" s="17"/>
      <c r="C358" s="17"/>
    </row>
    <row r="359" spans="2:3">
      <c r="B359" s="17"/>
      <c r="C359" s="17"/>
    </row>
    <row r="360" spans="2:3">
      <c r="B360" s="17"/>
      <c r="C360" s="17"/>
    </row>
    <row r="361" spans="2:3">
      <c r="B361" s="17"/>
      <c r="C361" s="17"/>
    </row>
    <row r="362" spans="2:3">
      <c r="B362" s="17"/>
      <c r="C362" s="17"/>
    </row>
    <row r="363" spans="2:3">
      <c r="B363" s="17"/>
      <c r="C363" s="17"/>
    </row>
    <row r="364" spans="2:3">
      <c r="B364" s="17"/>
      <c r="C364" s="17"/>
    </row>
    <row r="365" spans="2:3">
      <c r="B365" s="17"/>
      <c r="C365" s="17"/>
    </row>
    <row r="366" spans="2:3">
      <c r="B366" s="17"/>
      <c r="C366" s="17"/>
    </row>
    <row r="367" spans="2:3">
      <c r="B367" s="17"/>
      <c r="C367" s="17"/>
    </row>
    <row r="368" spans="2:3">
      <c r="B368" s="17"/>
      <c r="C368" s="17"/>
    </row>
    <row r="369" spans="2:3">
      <c r="B369" s="17"/>
      <c r="C369" s="17"/>
    </row>
    <row r="370" spans="2:3">
      <c r="B370" s="17"/>
      <c r="C370" s="17"/>
    </row>
    <row r="371" spans="2:3">
      <c r="B371" s="17"/>
      <c r="C371" s="17"/>
    </row>
    <row r="372" spans="2:3">
      <c r="B372" s="17"/>
      <c r="C372" s="17"/>
    </row>
    <row r="373" spans="2:3">
      <c r="B373" s="17"/>
      <c r="C373" s="17"/>
    </row>
    <row r="374" spans="2:3">
      <c r="B374" s="17"/>
      <c r="C374" s="17"/>
    </row>
    <row r="375" spans="2:3">
      <c r="B375" s="17"/>
      <c r="C375" s="17"/>
    </row>
    <row r="376" spans="2:3">
      <c r="B376" s="17"/>
      <c r="C376" s="17"/>
    </row>
    <row r="377" spans="2:3">
      <c r="B377" s="17"/>
      <c r="C377" s="17"/>
    </row>
    <row r="378" spans="2:3">
      <c r="B378" s="17"/>
      <c r="C378" s="17"/>
    </row>
    <row r="379" spans="2:3">
      <c r="B379" s="17"/>
      <c r="C379" s="17"/>
    </row>
    <row r="380" spans="2:3">
      <c r="B380" s="17"/>
      <c r="C380" s="17"/>
    </row>
    <row r="381" spans="2:3">
      <c r="B381" s="17"/>
      <c r="C381" s="17"/>
    </row>
    <row r="382" spans="2:3">
      <c r="B382" s="17"/>
      <c r="C382" s="17"/>
    </row>
    <row r="383" spans="2:3">
      <c r="B383" s="17"/>
      <c r="C383" s="17"/>
    </row>
    <row r="384" spans="2:3">
      <c r="B384" s="17"/>
      <c r="C384" s="17"/>
    </row>
    <row r="385" spans="2:3">
      <c r="B385" s="17"/>
      <c r="C385" s="17"/>
    </row>
    <row r="386" spans="2:3">
      <c r="B386" s="17"/>
      <c r="C386" s="17"/>
    </row>
    <row r="387" spans="2:3">
      <c r="B387" s="17"/>
      <c r="C387" s="17"/>
    </row>
    <row r="388" spans="2:3">
      <c r="B388" s="17"/>
      <c r="C388" s="17"/>
    </row>
    <row r="389" spans="2:3">
      <c r="B389" s="17"/>
      <c r="C389" s="17"/>
    </row>
    <row r="390" spans="2:3">
      <c r="B390" s="17"/>
      <c r="C390" s="17"/>
    </row>
    <row r="391" spans="2:3">
      <c r="B391" s="17"/>
      <c r="C391" s="17"/>
    </row>
    <row r="392" spans="2:3">
      <c r="B392" s="17"/>
      <c r="C392" s="17"/>
    </row>
    <row r="393" spans="2:3">
      <c r="B393" s="17"/>
      <c r="C393" s="17"/>
    </row>
    <row r="394" spans="2:3">
      <c r="B394" s="17"/>
      <c r="C394" s="17"/>
    </row>
    <row r="395" spans="2:3">
      <c r="B395" s="17"/>
      <c r="C395" s="17"/>
    </row>
    <row r="396" spans="2:3">
      <c r="B396" s="17"/>
      <c r="C396" s="17"/>
    </row>
    <row r="397" spans="2:3">
      <c r="B397" s="17"/>
      <c r="C397" s="17"/>
    </row>
    <row r="398" spans="2:3">
      <c r="B398" s="17"/>
      <c r="C398" s="17"/>
    </row>
    <row r="399" spans="2:3">
      <c r="B399" s="17"/>
      <c r="C399" s="17"/>
    </row>
    <row r="400" spans="2:3">
      <c r="B400" s="17"/>
      <c r="C400" s="17"/>
    </row>
    <row r="401" spans="2:3">
      <c r="B401" s="17"/>
      <c r="C401" s="17"/>
    </row>
    <row r="402" spans="2:3">
      <c r="B402" s="17"/>
      <c r="C402" s="17"/>
    </row>
    <row r="403" spans="2:3">
      <c r="B403" s="17"/>
      <c r="C403" s="17"/>
    </row>
    <row r="404" spans="2:3">
      <c r="B404" s="17"/>
      <c r="C404" s="17"/>
    </row>
    <row r="405" spans="2:3">
      <c r="B405" s="17"/>
      <c r="C405" s="17"/>
    </row>
    <row r="406" spans="2:3">
      <c r="B406" s="17"/>
      <c r="C406" s="17"/>
    </row>
    <row r="407" spans="2:3">
      <c r="B407" s="17"/>
      <c r="C407" s="17"/>
    </row>
    <row r="408" spans="2:3">
      <c r="B408" s="17"/>
      <c r="C408" s="17"/>
    </row>
    <row r="409" spans="2:3">
      <c r="B409" s="17"/>
      <c r="C409" s="17"/>
    </row>
    <row r="410" spans="2:3">
      <c r="B410" s="17"/>
      <c r="C410" s="17"/>
    </row>
    <row r="411" spans="2:3">
      <c r="B411" s="17"/>
      <c r="C411" s="17"/>
    </row>
    <row r="412" spans="2:3">
      <c r="B412" s="17"/>
      <c r="C412" s="17"/>
    </row>
    <row r="413" spans="2:3">
      <c r="B413" s="17"/>
      <c r="C413" s="17"/>
    </row>
    <row r="414" spans="2:3">
      <c r="B414" s="17"/>
      <c r="C414" s="17"/>
    </row>
    <row r="415" spans="2:3">
      <c r="B415" s="17"/>
      <c r="C415" s="17"/>
    </row>
    <row r="416" spans="2:3">
      <c r="B416" s="17"/>
      <c r="C416" s="17"/>
    </row>
    <row r="417" spans="2:3">
      <c r="B417" s="17"/>
      <c r="C417" s="17"/>
    </row>
    <row r="418" spans="2:3">
      <c r="B418" s="17"/>
      <c r="C418" s="17"/>
    </row>
    <row r="419" spans="2:3">
      <c r="B419" s="17"/>
      <c r="C419" s="17"/>
    </row>
    <row r="420" spans="2:3">
      <c r="B420" s="17"/>
      <c r="C420" s="17"/>
    </row>
    <row r="421" spans="2:3">
      <c r="B421" s="17"/>
      <c r="C421" s="17"/>
    </row>
    <row r="422" spans="2:3">
      <c r="B422" s="17"/>
      <c r="C422" s="17"/>
    </row>
    <row r="423" spans="2:3">
      <c r="B423" s="17"/>
      <c r="C423" s="17"/>
    </row>
    <row r="424" spans="2:3">
      <c r="B424" s="17"/>
      <c r="C424" s="17"/>
    </row>
    <row r="425" spans="2:3">
      <c r="B425" s="17"/>
      <c r="C425" s="17"/>
    </row>
    <row r="426" spans="2:3">
      <c r="B426" s="17"/>
      <c r="C426" s="17"/>
    </row>
    <row r="427" spans="2:3">
      <c r="B427" s="17"/>
      <c r="C427" s="17"/>
    </row>
    <row r="428" spans="2:3">
      <c r="B428" s="17"/>
      <c r="C428" s="17"/>
    </row>
    <row r="429" spans="2:3">
      <c r="B429" s="17"/>
      <c r="C429" s="17"/>
    </row>
    <row r="430" spans="2:3">
      <c r="B430" s="17"/>
      <c r="C430" s="17"/>
    </row>
    <row r="431" spans="2:3">
      <c r="B431" s="17"/>
      <c r="C431" s="17"/>
    </row>
    <row r="432" spans="2:3">
      <c r="B432" s="17"/>
      <c r="C432" s="17"/>
    </row>
    <row r="433" spans="2:3">
      <c r="B433" s="17"/>
      <c r="C433" s="17"/>
    </row>
    <row r="434" spans="2:3">
      <c r="B434" s="17"/>
      <c r="C434" s="17"/>
    </row>
    <row r="435" spans="2:3">
      <c r="B435" s="17"/>
      <c r="C435" s="17"/>
    </row>
    <row r="436" spans="2:3">
      <c r="B436" s="17"/>
      <c r="C436" s="17"/>
    </row>
    <row r="437" spans="2:3">
      <c r="B437" s="17"/>
      <c r="C437" s="17"/>
    </row>
    <row r="438" spans="2:3">
      <c r="B438" s="17"/>
      <c r="C438" s="17"/>
    </row>
    <row r="439" spans="2:3">
      <c r="B439" s="17"/>
      <c r="C439" s="17"/>
    </row>
    <row r="440" spans="2:3">
      <c r="B440" s="17"/>
      <c r="C440" s="17"/>
    </row>
    <row r="441" spans="2:3">
      <c r="B441" s="17"/>
      <c r="C441" s="17"/>
    </row>
    <row r="442" spans="2:3">
      <c r="B442" s="17"/>
      <c r="C442" s="17"/>
    </row>
    <row r="443" spans="2:3">
      <c r="B443" s="17"/>
      <c r="C443" s="17"/>
    </row>
    <row r="444" spans="2:3">
      <c r="B444" s="17"/>
      <c r="C444" s="17"/>
    </row>
    <row r="445" spans="2:3">
      <c r="B445" s="17"/>
      <c r="C445" s="17"/>
    </row>
    <row r="446" spans="2:3">
      <c r="B446" s="17"/>
      <c r="C446" s="17"/>
    </row>
    <row r="447" spans="2:3">
      <c r="B447" s="17"/>
      <c r="C447" s="17"/>
    </row>
    <row r="448" spans="2:3">
      <c r="B448" s="17"/>
      <c r="C448" s="17"/>
    </row>
    <row r="449" spans="2:3">
      <c r="B449" s="17"/>
      <c r="C449" s="17"/>
    </row>
    <row r="450" spans="2:3">
      <c r="B450" s="17"/>
      <c r="C450" s="17"/>
    </row>
    <row r="451" spans="2:3">
      <c r="B451" s="17"/>
      <c r="C451" s="17"/>
    </row>
    <row r="452" spans="2:3">
      <c r="B452" s="17"/>
      <c r="C452" s="17"/>
    </row>
    <row r="453" spans="2:3">
      <c r="B453" s="17"/>
      <c r="C453" s="17"/>
    </row>
    <row r="454" spans="2:3">
      <c r="B454" s="17"/>
      <c r="C454" s="17"/>
    </row>
    <row r="455" spans="2:3">
      <c r="B455" s="17"/>
      <c r="C455" s="17"/>
    </row>
    <row r="456" spans="2:3">
      <c r="B456" s="17"/>
      <c r="C456" s="17"/>
    </row>
    <row r="457" spans="2:3">
      <c r="B457" s="17"/>
      <c r="C457" s="17"/>
    </row>
    <row r="458" spans="2:3">
      <c r="B458" s="17"/>
      <c r="C458" s="17"/>
    </row>
    <row r="459" spans="2:3">
      <c r="B459" s="17"/>
      <c r="C459" s="17"/>
    </row>
    <row r="460" spans="2:3">
      <c r="B460" s="17"/>
      <c r="C460" s="17"/>
    </row>
    <row r="461" spans="2:3">
      <c r="B461" s="17"/>
      <c r="C461" s="17"/>
    </row>
    <row r="462" spans="2:3">
      <c r="B462" s="17"/>
      <c r="C462" s="17"/>
    </row>
    <row r="463" spans="2:3">
      <c r="B463" s="17"/>
      <c r="C463" s="17"/>
    </row>
    <row r="464" spans="2:3">
      <c r="B464" s="17"/>
      <c r="C464" s="17"/>
    </row>
    <row r="465" spans="2:3">
      <c r="B465" s="17"/>
      <c r="C465" s="17"/>
    </row>
    <row r="466" spans="2:3">
      <c r="B466" s="17"/>
      <c r="C466" s="17"/>
    </row>
    <row r="467" spans="2:3">
      <c r="B467" s="17"/>
      <c r="C467" s="17"/>
    </row>
    <row r="468" spans="2:3">
      <c r="B468" s="17"/>
      <c r="C468" s="17"/>
    </row>
    <row r="469" spans="2:3">
      <c r="B469" s="17"/>
      <c r="C469" s="17"/>
    </row>
    <row r="470" spans="2:3">
      <c r="B470" s="17"/>
      <c r="C470" s="17"/>
    </row>
    <row r="471" spans="2:3">
      <c r="B471" s="17"/>
      <c r="C471" s="17"/>
    </row>
    <row r="472" spans="2:3">
      <c r="B472" s="17"/>
      <c r="C472" s="17"/>
    </row>
    <row r="473" spans="2:3">
      <c r="B473" s="17"/>
      <c r="C473" s="17"/>
    </row>
    <row r="474" spans="2:3">
      <c r="B474" s="17"/>
      <c r="C474" s="17"/>
    </row>
    <row r="475" spans="2:3">
      <c r="B475" s="17"/>
      <c r="C475" s="17"/>
    </row>
    <row r="476" spans="2:3">
      <c r="B476" s="17"/>
      <c r="C476" s="17"/>
    </row>
    <row r="477" spans="2:3">
      <c r="B477" s="17"/>
      <c r="C477" s="17"/>
    </row>
    <row r="478" spans="2:3">
      <c r="B478" s="17"/>
      <c r="C478" s="17"/>
    </row>
    <row r="479" spans="2:3">
      <c r="B479" s="17"/>
      <c r="C479" s="17"/>
    </row>
    <row r="480" spans="2:3">
      <c r="B480" s="17"/>
      <c r="C480" s="17"/>
    </row>
    <row r="481" spans="2:3">
      <c r="B481" s="17"/>
      <c r="C481" s="17"/>
    </row>
    <row r="482" spans="2:3">
      <c r="B482" s="17"/>
      <c r="C482" s="17"/>
    </row>
    <row r="483" spans="2:3">
      <c r="B483" s="17"/>
      <c r="C483" s="17"/>
    </row>
    <row r="484" spans="2:3">
      <c r="B484" s="17"/>
      <c r="C484" s="17"/>
    </row>
    <row r="485" spans="2:3">
      <c r="B485" s="17"/>
      <c r="C485" s="17"/>
    </row>
    <row r="486" spans="2:3">
      <c r="B486" s="17"/>
      <c r="C486" s="17"/>
    </row>
    <row r="487" spans="2:3">
      <c r="B487" s="17"/>
      <c r="C487" s="17"/>
    </row>
    <row r="488" spans="2:3">
      <c r="B488" s="17"/>
      <c r="C488" s="17"/>
    </row>
    <row r="489" spans="2:3">
      <c r="B489" s="17"/>
      <c r="C489" s="17"/>
    </row>
    <row r="490" spans="2:3">
      <c r="B490" s="17"/>
      <c r="C490" s="17"/>
    </row>
    <row r="491" spans="2:3">
      <c r="B491" s="17"/>
      <c r="C491" s="17"/>
    </row>
    <row r="492" spans="2:3">
      <c r="B492" s="17"/>
      <c r="C492" s="17"/>
    </row>
    <row r="493" spans="2:3">
      <c r="B493" s="17"/>
      <c r="C493" s="17"/>
    </row>
    <row r="494" spans="2:3">
      <c r="B494" s="17"/>
      <c r="C494" s="17"/>
    </row>
    <row r="495" spans="2:3">
      <c r="B495" s="17"/>
      <c r="C495" s="17"/>
    </row>
    <row r="496" spans="2:3">
      <c r="B496" s="17"/>
      <c r="C496" s="17"/>
    </row>
    <row r="497" spans="2:3">
      <c r="B497" s="17"/>
      <c r="C497" s="17"/>
    </row>
    <row r="498" spans="2:3">
      <c r="B498" s="17"/>
      <c r="C498" s="17"/>
    </row>
    <row r="499" spans="2:3">
      <c r="B499" s="17"/>
      <c r="C499" s="17"/>
    </row>
    <row r="500" spans="2:3">
      <c r="B500" s="17"/>
      <c r="C500" s="17"/>
    </row>
    <row r="501" spans="2:3">
      <c r="B501" s="17"/>
      <c r="C501" s="17"/>
    </row>
    <row r="502" spans="2:3">
      <c r="B502" s="17"/>
      <c r="C502" s="17"/>
    </row>
    <row r="503" spans="2:3">
      <c r="B503" s="17"/>
      <c r="C503" s="17"/>
    </row>
    <row r="504" spans="2:3">
      <c r="B504" s="17"/>
      <c r="C504" s="17"/>
    </row>
    <row r="505" spans="2:3">
      <c r="B505" s="17"/>
      <c r="C505" s="17"/>
    </row>
    <row r="506" spans="2:3">
      <c r="B506" s="17"/>
      <c r="C506" s="17"/>
    </row>
    <row r="507" spans="2:3">
      <c r="B507" s="17"/>
      <c r="C507" s="17"/>
    </row>
    <row r="508" spans="2:3">
      <c r="B508" s="17"/>
      <c r="C508" s="17"/>
    </row>
    <row r="509" spans="2:3">
      <c r="B509" s="17"/>
      <c r="C509" s="17"/>
    </row>
    <row r="510" spans="2:3">
      <c r="B510" s="17"/>
      <c r="C510" s="17"/>
    </row>
    <row r="511" spans="2:3">
      <c r="B511" s="17"/>
      <c r="C511" s="17"/>
    </row>
    <row r="512" spans="2:3">
      <c r="B512" s="17"/>
      <c r="C512" s="17"/>
    </row>
    <row r="513" spans="2:3">
      <c r="B513" s="17"/>
      <c r="C513" s="17"/>
    </row>
    <row r="514" spans="2:3">
      <c r="B514" s="17"/>
      <c r="C514" s="17"/>
    </row>
    <row r="515" spans="2:3">
      <c r="B515" s="17"/>
      <c r="C515" s="17"/>
    </row>
    <row r="516" spans="2:3">
      <c r="B516" s="17"/>
      <c r="C516" s="17"/>
    </row>
    <row r="517" spans="2:3">
      <c r="B517" s="17"/>
      <c r="C517" s="17"/>
    </row>
    <row r="518" spans="2:3">
      <c r="B518" s="17"/>
      <c r="C518" s="17"/>
    </row>
    <row r="519" spans="2:3">
      <c r="B519" s="17"/>
      <c r="C519" s="17"/>
    </row>
    <row r="520" spans="2:3">
      <c r="B520" s="17"/>
      <c r="C520" s="17"/>
    </row>
    <row r="521" spans="2:3">
      <c r="B521" s="17"/>
      <c r="C521" s="17"/>
    </row>
    <row r="522" spans="2:3">
      <c r="B522" s="17"/>
      <c r="C522" s="17"/>
    </row>
    <row r="523" spans="2:3">
      <c r="B523" s="17"/>
      <c r="C523" s="17"/>
    </row>
    <row r="524" spans="2:3">
      <c r="B524" s="17"/>
      <c r="C524" s="17"/>
    </row>
    <row r="525" spans="2:3">
      <c r="B525" s="17"/>
      <c r="C525" s="17"/>
    </row>
    <row r="526" spans="2:3">
      <c r="B526" s="17"/>
      <c r="C526" s="17"/>
    </row>
    <row r="527" spans="2:3">
      <c r="B527" s="17"/>
      <c r="C527" s="17"/>
    </row>
    <row r="528" spans="2:3">
      <c r="B528" s="17"/>
      <c r="C528" s="17"/>
    </row>
    <row r="529" spans="2:3">
      <c r="B529" s="17"/>
      <c r="C529" s="17"/>
    </row>
    <row r="530" spans="2:3">
      <c r="B530" s="17"/>
      <c r="C530" s="17"/>
    </row>
    <row r="531" spans="2:3">
      <c r="B531" s="17"/>
      <c r="C531" s="17"/>
    </row>
    <row r="532" spans="2:3">
      <c r="B532" s="17"/>
      <c r="C532" s="17"/>
    </row>
    <row r="533" spans="2:3">
      <c r="B533" s="17"/>
      <c r="C533" s="17"/>
    </row>
    <row r="534" spans="2:3">
      <c r="B534" s="17"/>
      <c r="C534" s="17"/>
    </row>
    <row r="535" spans="2:3">
      <c r="B535" s="17"/>
      <c r="C535" s="17"/>
    </row>
    <row r="536" spans="2:3">
      <c r="B536" s="17"/>
      <c r="C536" s="17"/>
    </row>
    <row r="537" spans="2:3">
      <c r="B537" s="17"/>
      <c r="C537" s="17"/>
    </row>
    <row r="538" spans="2:3">
      <c r="B538" s="17"/>
      <c r="C538" s="17"/>
    </row>
    <row r="539" spans="2:3">
      <c r="B539" s="17"/>
      <c r="C539" s="17"/>
    </row>
    <row r="540" spans="2:3">
      <c r="B540" s="17"/>
      <c r="C540" s="17"/>
    </row>
    <row r="541" spans="2:3">
      <c r="B541" s="17"/>
      <c r="C541" s="17"/>
    </row>
    <row r="542" spans="2:3">
      <c r="B542" s="17"/>
      <c r="C542" s="17"/>
    </row>
    <row r="543" spans="2:3">
      <c r="B543" s="17"/>
      <c r="C543" s="17"/>
    </row>
    <row r="544" spans="2:3">
      <c r="B544" s="17"/>
      <c r="C544" s="17"/>
    </row>
    <row r="545" spans="2:3">
      <c r="B545" s="17"/>
      <c r="C545" s="17"/>
    </row>
    <row r="546" spans="2:3">
      <c r="B546" s="17"/>
      <c r="C546" s="17"/>
    </row>
    <row r="547" spans="2:3">
      <c r="B547" s="17"/>
      <c r="C547" s="17"/>
    </row>
    <row r="548" spans="2:3">
      <c r="B548" s="17"/>
      <c r="C548" s="17"/>
    </row>
    <row r="549" spans="2:3">
      <c r="B549" s="17"/>
      <c r="C549" s="17"/>
    </row>
    <row r="550" spans="2:3">
      <c r="B550" s="17"/>
      <c r="C550" s="17"/>
    </row>
    <row r="551" spans="2:3">
      <c r="B551" s="17"/>
      <c r="C551" s="17"/>
    </row>
    <row r="552" spans="2:3">
      <c r="B552" s="17"/>
      <c r="C552" s="17"/>
    </row>
    <row r="553" spans="2:3">
      <c r="B553" s="17"/>
      <c r="C553" s="17"/>
    </row>
    <row r="554" spans="2:3">
      <c r="B554" s="17"/>
      <c r="C554" s="17"/>
    </row>
    <row r="555" spans="2:3">
      <c r="B555" s="17"/>
      <c r="C555" s="17"/>
    </row>
    <row r="556" spans="2:3">
      <c r="B556" s="17"/>
      <c r="C556" s="17"/>
    </row>
    <row r="557" spans="2:3">
      <c r="B557" s="17"/>
      <c r="C557" s="17"/>
    </row>
    <row r="558" spans="2:3">
      <c r="B558" s="17"/>
      <c r="C558" s="17"/>
    </row>
    <row r="559" spans="2:3">
      <c r="B559" s="17"/>
      <c r="C559" s="17"/>
    </row>
    <row r="560" spans="2:3">
      <c r="B560" s="17"/>
      <c r="C560" s="17"/>
    </row>
    <row r="561" spans="2:3">
      <c r="B561" s="17"/>
      <c r="C561" s="17"/>
    </row>
    <row r="562" spans="2:3">
      <c r="B562" s="17"/>
      <c r="C562" s="17"/>
    </row>
    <row r="563" spans="2:3">
      <c r="B563" s="17"/>
      <c r="C563" s="17"/>
    </row>
    <row r="564" spans="2:3">
      <c r="B564" s="17"/>
      <c r="C564" s="17"/>
    </row>
    <row r="565" spans="2:3">
      <c r="B565" s="17"/>
      <c r="C565" s="17"/>
    </row>
    <row r="566" spans="2:3">
      <c r="B566" s="17"/>
      <c r="C566" s="17"/>
    </row>
    <row r="567" spans="2:3">
      <c r="B567" s="17"/>
      <c r="C567" s="17"/>
    </row>
    <row r="568" spans="2:3">
      <c r="B568" s="17"/>
      <c r="C568" s="17"/>
    </row>
    <row r="569" spans="2:3">
      <c r="B569" s="17"/>
      <c r="C569" s="17"/>
    </row>
    <row r="570" spans="2:3">
      <c r="B570" s="17"/>
      <c r="C570" s="17"/>
    </row>
    <row r="571" spans="2:3">
      <c r="B571" s="17"/>
      <c r="C571" s="17"/>
    </row>
    <row r="572" spans="2:3">
      <c r="B572" s="17"/>
      <c r="C572" s="17"/>
    </row>
    <row r="573" spans="2:3">
      <c r="B573" s="17"/>
      <c r="C573" s="17"/>
    </row>
    <row r="574" spans="2:3">
      <c r="B574" s="17"/>
      <c r="C574" s="17"/>
    </row>
    <row r="575" spans="2:3">
      <c r="B575" s="17"/>
      <c r="C575" s="17"/>
    </row>
    <row r="576" spans="2:3">
      <c r="B576" s="17"/>
      <c r="C576" s="17"/>
    </row>
    <row r="577" spans="2:3">
      <c r="B577" s="17"/>
      <c r="C577" s="17"/>
    </row>
    <row r="578" spans="2:3">
      <c r="B578" s="17"/>
      <c r="C578" s="17"/>
    </row>
    <row r="579" spans="2:3">
      <c r="B579" s="17"/>
      <c r="C579" s="17"/>
    </row>
    <row r="580" spans="2:3">
      <c r="B580" s="17"/>
      <c r="C580" s="17"/>
    </row>
    <row r="581" spans="2:3">
      <c r="B581" s="17"/>
      <c r="C581" s="17"/>
    </row>
    <row r="582" spans="2:3">
      <c r="B582" s="17"/>
      <c r="C582" s="17"/>
    </row>
    <row r="583" spans="2:3">
      <c r="B583" s="17"/>
      <c r="C583" s="17"/>
    </row>
    <row r="584" spans="2:3">
      <c r="B584" s="17"/>
      <c r="C584" s="17"/>
    </row>
    <row r="585" spans="2:3">
      <c r="B585" s="17"/>
      <c r="C585" s="17"/>
    </row>
    <row r="586" spans="2:3">
      <c r="B586" s="17"/>
      <c r="C586" s="17"/>
    </row>
    <row r="587" spans="2:3">
      <c r="B587" s="17"/>
      <c r="C587" s="17"/>
    </row>
    <row r="588" spans="2:3">
      <c r="B588" s="17"/>
      <c r="C588" s="17"/>
    </row>
    <row r="589" spans="2:3">
      <c r="B589" s="17"/>
      <c r="C589" s="17"/>
    </row>
    <row r="590" spans="2:3">
      <c r="B590" s="17"/>
      <c r="C590" s="17"/>
    </row>
    <row r="591" spans="2:3">
      <c r="B591" s="17"/>
      <c r="C591" s="17"/>
    </row>
    <row r="592" spans="2:3">
      <c r="B592" s="17"/>
      <c r="C592" s="17"/>
    </row>
    <row r="593" spans="2:3">
      <c r="B593" s="17"/>
      <c r="C593" s="17"/>
    </row>
    <row r="594" spans="2:3">
      <c r="B594" s="17"/>
      <c r="C594" s="17"/>
    </row>
    <row r="595" spans="2:3">
      <c r="B595" s="17"/>
      <c r="C595" s="17"/>
    </row>
    <row r="596" spans="2:3">
      <c r="B596" s="17"/>
      <c r="C596" s="17"/>
    </row>
    <row r="597" spans="2:3">
      <c r="B597" s="17"/>
      <c r="C597" s="17"/>
    </row>
    <row r="598" spans="2:3">
      <c r="B598" s="17"/>
      <c r="C598" s="17"/>
    </row>
    <row r="599" spans="2:3">
      <c r="B599" s="17"/>
      <c r="C599" s="17"/>
    </row>
    <row r="600" spans="2:3">
      <c r="B600" s="17"/>
      <c r="C600" s="17"/>
    </row>
    <row r="601" spans="2:3">
      <c r="B601" s="17"/>
      <c r="C601" s="17"/>
    </row>
    <row r="602" spans="2:3">
      <c r="B602" s="17"/>
      <c r="C602" s="17"/>
    </row>
    <row r="603" spans="2:3">
      <c r="B603" s="17"/>
      <c r="C603" s="17"/>
    </row>
    <row r="604" spans="2:3">
      <c r="B604" s="17"/>
      <c r="C604" s="17"/>
    </row>
    <row r="605" spans="2:3">
      <c r="B605" s="17"/>
      <c r="C605" s="17"/>
    </row>
    <row r="606" spans="2:3">
      <c r="B606" s="17"/>
      <c r="C606" s="17"/>
    </row>
    <row r="607" spans="2:3">
      <c r="B607" s="17"/>
      <c r="C607" s="17"/>
    </row>
    <row r="608" spans="2:3">
      <c r="B608" s="17"/>
      <c r="C608" s="17"/>
    </row>
    <row r="609" spans="2:3">
      <c r="B609" s="17"/>
      <c r="C609" s="17"/>
    </row>
    <row r="610" spans="2:3">
      <c r="B610" s="17"/>
      <c r="C610" s="17"/>
    </row>
    <row r="611" spans="2:3">
      <c r="B611" s="17"/>
      <c r="C611" s="17"/>
    </row>
    <row r="612" spans="2:3">
      <c r="B612" s="17"/>
      <c r="C612" s="17"/>
    </row>
    <row r="613" spans="2:3">
      <c r="B613" s="17"/>
      <c r="C613" s="17"/>
    </row>
    <row r="614" spans="2:3">
      <c r="B614" s="17"/>
      <c r="C614" s="17"/>
    </row>
    <row r="615" spans="2:3">
      <c r="B615" s="17"/>
      <c r="C615" s="17"/>
    </row>
    <row r="616" spans="2:3">
      <c r="B616" s="17"/>
      <c r="C616" s="17"/>
    </row>
    <row r="617" spans="2:3">
      <c r="B617" s="17"/>
      <c r="C617" s="17"/>
    </row>
    <row r="618" spans="2:3">
      <c r="B618" s="17"/>
      <c r="C618" s="17"/>
    </row>
    <row r="619" spans="2:3">
      <c r="B619" s="17"/>
      <c r="C619" s="17"/>
    </row>
    <row r="620" spans="2:3">
      <c r="B620" s="17"/>
      <c r="C620" s="17"/>
    </row>
    <row r="621" spans="2:3">
      <c r="B621" s="17"/>
      <c r="C621" s="17"/>
    </row>
    <row r="622" spans="2:3">
      <c r="B622" s="17"/>
      <c r="C622" s="17"/>
    </row>
    <row r="623" spans="2:3">
      <c r="B623" s="17"/>
      <c r="C623" s="17"/>
    </row>
    <row r="624" spans="2:3">
      <c r="B624" s="17"/>
      <c r="C624" s="17"/>
    </row>
    <row r="625" spans="2:3">
      <c r="B625" s="17"/>
      <c r="C625" s="17"/>
    </row>
    <row r="626" spans="2:3">
      <c r="B626" s="17"/>
      <c r="C626" s="17"/>
    </row>
    <row r="627" spans="2:3">
      <c r="B627" s="17"/>
      <c r="C627" s="17"/>
    </row>
    <row r="628" spans="2:3">
      <c r="B628" s="17"/>
      <c r="C628" s="17"/>
    </row>
    <row r="629" spans="2:3">
      <c r="B629" s="17"/>
      <c r="C629" s="17"/>
    </row>
    <row r="630" spans="2:3">
      <c r="B630" s="17"/>
      <c r="C630" s="17"/>
    </row>
    <row r="631" spans="2:3">
      <c r="B631" s="17"/>
      <c r="C631" s="17"/>
    </row>
    <row r="632" spans="2:3">
      <c r="B632" s="17"/>
      <c r="C632" s="17"/>
    </row>
    <row r="633" spans="2:3">
      <c r="B633" s="17"/>
      <c r="C633" s="17"/>
    </row>
    <row r="634" spans="2:3">
      <c r="B634" s="17"/>
      <c r="C634" s="17"/>
    </row>
    <row r="635" spans="2:3">
      <c r="B635" s="17"/>
      <c r="C635" s="17"/>
    </row>
    <row r="636" spans="2:3">
      <c r="B636" s="17"/>
      <c r="C636" s="17"/>
    </row>
    <row r="637" spans="2:3">
      <c r="B637" s="17"/>
      <c r="C637" s="17"/>
    </row>
    <row r="638" spans="2:3">
      <c r="B638" s="17"/>
      <c r="C638" s="17"/>
    </row>
    <row r="639" spans="2:3">
      <c r="B639" s="17"/>
      <c r="C639" s="17"/>
    </row>
    <row r="640" spans="2:3">
      <c r="B640" s="17"/>
      <c r="C640" s="17"/>
    </row>
    <row r="641" spans="2:3">
      <c r="B641" s="17"/>
      <c r="C641" s="17"/>
    </row>
    <row r="642" spans="2:3">
      <c r="B642" s="17"/>
      <c r="C642" s="17"/>
    </row>
    <row r="643" spans="2:3">
      <c r="B643" s="17"/>
      <c r="C643" s="17"/>
    </row>
    <row r="644" spans="2:3">
      <c r="B644" s="17"/>
      <c r="C644" s="17"/>
    </row>
    <row r="645" spans="2:3">
      <c r="B645" s="17"/>
      <c r="C645" s="17"/>
    </row>
    <row r="646" spans="2:3">
      <c r="B646" s="17"/>
      <c r="C646" s="17"/>
    </row>
    <row r="647" spans="2:3">
      <c r="B647" s="17"/>
      <c r="C647" s="17"/>
    </row>
    <row r="648" spans="2:3">
      <c r="B648" s="17"/>
      <c r="C648" s="17"/>
    </row>
    <row r="649" spans="2:3">
      <c r="B649" s="17"/>
      <c r="C649" s="17"/>
    </row>
    <row r="650" spans="2:3">
      <c r="B650" s="17"/>
      <c r="C650" s="17"/>
    </row>
    <row r="651" spans="2:3">
      <c r="B651" s="17"/>
      <c r="C651" s="17"/>
    </row>
    <row r="652" spans="2:3">
      <c r="B652" s="17"/>
      <c r="C652" s="17"/>
    </row>
    <row r="653" spans="2:3">
      <c r="B653" s="17"/>
      <c r="C653" s="17"/>
    </row>
    <row r="654" spans="2:3">
      <c r="B654" s="17"/>
      <c r="C654" s="17"/>
    </row>
    <row r="655" spans="2:3">
      <c r="B655" s="17"/>
      <c r="C655" s="17"/>
    </row>
    <row r="656" spans="2:3">
      <c r="B656" s="17"/>
      <c r="C656" s="17"/>
    </row>
    <row r="657" spans="2:3">
      <c r="B657" s="17"/>
      <c r="C657" s="17"/>
    </row>
    <row r="658" spans="2:3">
      <c r="B658" s="17"/>
      <c r="C658" s="17"/>
    </row>
    <row r="659" spans="2:3">
      <c r="B659" s="17"/>
      <c r="C659" s="17"/>
    </row>
    <row r="660" spans="2:3">
      <c r="B660" s="17"/>
      <c r="C660" s="17"/>
    </row>
    <row r="661" spans="2:3">
      <c r="B661" s="17"/>
      <c r="C661" s="17"/>
    </row>
    <row r="662" spans="2:3">
      <c r="B662" s="17"/>
      <c r="C662" s="17"/>
    </row>
    <row r="663" spans="2:3">
      <c r="B663" s="17"/>
      <c r="C663" s="17"/>
    </row>
    <row r="664" spans="2:3">
      <c r="B664" s="17"/>
      <c r="C664" s="17"/>
    </row>
    <row r="665" spans="2:3">
      <c r="B665" s="17"/>
      <c r="C665" s="17"/>
    </row>
    <row r="666" spans="2:3">
      <c r="B666" s="17"/>
      <c r="C666" s="17"/>
    </row>
    <row r="667" spans="2:3">
      <c r="B667" s="17"/>
      <c r="C667" s="17"/>
    </row>
    <row r="668" spans="2:3">
      <c r="B668" s="17"/>
      <c r="C668" s="17"/>
    </row>
    <row r="669" spans="2:3">
      <c r="B669" s="17"/>
      <c r="C669" s="17"/>
    </row>
    <row r="670" spans="2:3">
      <c r="B670" s="17"/>
      <c r="C670" s="17"/>
    </row>
    <row r="671" spans="2:3">
      <c r="B671" s="17"/>
      <c r="C671" s="17"/>
    </row>
    <row r="672" spans="2:3">
      <c r="B672" s="17"/>
      <c r="C672" s="17"/>
    </row>
    <row r="673" spans="2:3">
      <c r="B673" s="17"/>
      <c r="C673" s="17"/>
    </row>
    <row r="674" spans="2:3">
      <c r="B674" s="17"/>
      <c r="C674" s="17"/>
    </row>
    <row r="675" spans="2:3">
      <c r="B675" s="17"/>
      <c r="C675" s="17"/>
    </row>
    <row r="676" spans="2:3">
      <c r="B676" s="17"/>
      <c r="C676" s="17"/>
    </row>
    <row r="677" spans="2:3">
      <c r="B677" s="17"/>
      <c r="C677" s="17"/>
    </row>
    <row r="678" spans="2:3">
      <c r="B678" s="17"/>
      <c r="C678" s="17"/>
    </row>
    <row r="679" spans="2:3">
      <c r="B679" s="17"/>
      <c r="C679" s="17"/>
    </row>
    <row r="680" spans="2:3">
      <c r="B680" s="17"/>
      <c r="C680" s="17"/>
    </row>
    <row r="681" spans="2:3">
      <c r="B681" s="17"/>
      <c r="C681" s="17"/>
    </row>
    <row r="682" spans="2:3">
      <c r="B682" s="17"/>
      <c r="C682" s="17"/>
    </row>
    <row r="683" spans="2:3">
      <c r="B683" s="17"/>
      <c r="C683" s="17"/>
    </row>
    <row r="684" spans="2:3">
      <c r="B684" s="17"/>
      <c r="C684" s="17"/>
    </row>
    <row r="685" spans="2:3">
      <c r="B685" s="17"/>
      <c r="C685" s="17"/>
    </row>
    <row r="686" spans="2:3">
      <c r="B686" s="17"/>
      <c r="C686" s="17"/>
    </row>
    <row r="687" spans="2:3">
      <c r="B687" s="17"/>
      <c r="C687" s="17"/>
    </row>
    <row r="688" spans="2:3">
      <c r="B688" s="17"/>
      <c r="C688" s="17"/>
    </row>
    <row r="689" spans="2:3">
      <c r="B689" s="17"/>
      <c r="C689" s="17"/>
    </row>
    <row r="690" spans="2:3">
      <c r="B690" s="17"/>
      <c r="C690" s="17"/>
    </row>
    <row r="691" spans="2:3">
      <c r="B691" s="17"/>
      <c r="C691" s="17"/>
    </row>
    <row r="692" spans="2:3">
      <c r="B692" s="17"/>
      <c r="C692" s="17"/>
    </row>
    <row r="693" spans="2:3">
      <c r="B693" s="17"/>
      <c r="C693" s="17"/>
    </row>
    <row r="694" spans="2:3">
      <c r="B694" s="17"/>
      <c r="C694" s="17"/>
    </row>
    <row r="695" spans="2:3">
      <c r="B695" s="17"/>
      <c r="C695" s="17"/>
    </row>
    <row r="696" spans="2:3">
      <c r="B696" s="17"/>
      <c r="C696" s="17"/>
    </row>
    <row r="697" spans="2:3">
      <c r="B697" s="17"/>
      <c r="C697" s="17"/>
    </row>
    <row r="698" spans="2:3">
      <c r="B698" s="17"/>
      <c r="C698" s="17"/>
    </row>
    <row r="699" spans="2:3">
      <c r="B699" s="17"/>
      <c r="C699" s="17"/>
    </row>
    <row r="700" spans="2:3">
      <c r="B700" s="17"/>
      <c r="C700" s="17"/>
    </row>
    <row r="701" spans="2:3">
      <c r="B701" s="17"/>
      <c r="C701" s="17"/>
    </row>
    <row r="702" spans="2:3">
      <c r="B702" s="17"/>
      <c r="C702" s="17"/>
    </row>
    <row r="703" spans="2:3">
      <c r="B703" s="17"/>
      <c r="C703" s="17"/>
    </row>
    <row r="704" spans="2:3">
      <c r="B704" s="17"/>
      <c r="C704" s="17"/>
    </row>
    <row r="705" spans="2:3">
      <c r="B705" s="17"/>
      <c r="C705" s="17"/>
    </row>
    <row r="706" spans="2:3">
      <c r="B706" s="17"/>
      <c r="C706" s="17"/>
    </row>
    <row r="707" spans="2:3">
      <c r="B707" s="17"/>
      <c r="C707" s="17"/>
    </row>
    <row r="708" spans="2:3">
      <c r="B708" s="17"/>
      <c r="C708" s="17"/>
    </row>
    <row r="709" spans="2:3">
      <c r="B709" s="17"/>
      <c r="C709" s="17"/>
    </row>
    <row r="710" spans="2:3">
      <c r="B710" s="17"/>
      <c r="C710" s="17"/>
    </row>
    <row r="711" spans="2:3">
      <c r="B711" s="17"/>
      <c r="C711" s="17"/>
    </row>
    <row r="712" spans="2:3">
      <c r="B712" s="17"/>
      <c r="C712" s="17"/>
    </row>
    <row r="713" spans="2:3">
      <c r="B713" s="17"/>
      <c r="C713" s="17"/>
    </row>
    <row r="714" spans="2:3">
      <c r="B714" s="17"/>
      <c r="C714" s="17"/>
    </row>
    <row r="715" spans="2:3">
      <c r="B715" s="17"/>
      <c r="C715" s="17"/>
    </row>
    <row r="716" spans="2:3">
      <c r="B716" s="17"/>
      <c r="C716" s="17"/>
    </row>
    <row r="717" spans="2:3">
      <c r="B717" s="17"/>
      <c r="C717" s="17"/>
    </row>
    <row r="718" spans="2:3">
      <c r="B718" s="17"/>
      <c r="C718" s="17"/>
    </row>
    <row r="719" spans="2:3">
      <c r="B719" s="17"/>
      <c r="C719" s="17"/>
    </row>
    <row r="720" spans="2:3">
      <c r="B720" s="17"/>
      <c r="C720" s="17"/>
    </row>
    <row r="721" spans="2:3">
      <c r="B721" s="17"/>
      <c r="C721" s="17"/>
    </row>
    <row r="722" spans="2:3">
      <c r="B722" s="17"/>
      <c r="C722" s="17"/>
    </row>
    <row r="723" spans="2:3">
      <c r="B723" s="17"/>
      <c r="C723" s="17"/>
    </row>
    <row r="724" spans="2:3">
      <c r="B724" s="17"/>
      <c r="C724" s="17"/>
    </row>
    <row r="725" spans="2:3">
      <c r="B725" s="17"/>
      <c r="C725" s="17"/>
    </row>
    <row r="726" spans="2:3">
      <c r="B726" s="17"/>
      <c r="C726" s="17"/>
    </row>
    <row r="727" spans="2:3">
      <c r="B727" s="17"/>
      <c r="C727" s="17"/>
    </row>
    <row r="728" spans="2:3">
      <c r="B728" s="17"/>
      <c r="C728" s="17"/>
    </row>
    <row r="729" spans="2:3">
      <c r="B729" s="17"/>
      <c r="C729" s="17"/>
    </row>
    <row r="730" spans="2:3">
      <c r="B730" s="17"/>
      <c r="C730" s="17"/>
    </row>
    <row r="731" spans="2:3">
      <c r="B731" s="17"/>
      <c r="C731" s="17"/>
    </row>
    <row r="732" spans="2:3">
      <c r="B732" s="17"/>
      <c r="C732" s="17"/>
    </row>
    <row r="733" spans="2:3">
      <c r="B733" s="17"/>
      <c r="C733" s="17"/>
    </row>
    <row r="734" spans="2:3">
      <c r="B734" s="17"/>
      <c r="C734" s="17"/>
    </row>
    <row r="735" spans="2:3">
      <c r="B735" s="17"/>
      <c r="C735" s="17"/>
    </row>
    <row r="736" spans="2:3">
      <c r="B736" s="17"/>
      <c r="C736" s="17"/>
    </row>
    <row r="737" spans="2:3">
      <c r="B737" s="17"/>
      <c r="C737" s="17"/>
    </row>
    <row r="738" spans="2:3">
      <c r="B738" s="17"/>
      <c r="C738" s="17"/>
    </row>
    <row r="739" spans="2:3">
      <c r="B739" s="17"/>
      <c r="C739" s="17"/>
    </row>
    <row r="740" spans="2:3">
      <c r="B740" s="17"/>
      <c r="C740" s="17"/>
    </row>
    <row r="741" spans="2:3">
      <c r="B741" s="17"/>
      <c r="C741" s="17"/>
    </row>
    <row r="742" spans="2:3">
      <c r="B742" s="17"/>
      <c r="C742" s="17"/>
    </row>
    <row r="743" spans="2:3">
      <c r="B743" s="17"/>
      <c r="C743" s="17"/>
    </row>
    <row r="744" spans="2:3">
      <c r="B744" s="17"/>
      <c r="C744" s="17"/>
    </row>
    <row r="745" spans="2:3">
      <c r="B745" s="17"/>
      <c r="C745" s="17"/>
    </row>
    <row r="746" spans="2:3">
      <c r="B746" s="17"/>
      <c r="C746" s="17"/>
    </row>
    <row r="747" spans="2:3">
      <c r="B747" s="17"/>
      <c r="C747" s="17"/>
    </row>
    <row r="748" spans="2:3">
      <c r="B748" s="17"/>
      <c r="C748" s="17"/>
    </row>
    <row r="749" spans="2:3">
      <c r="B749" s="17"/>
      <c r="C749" s="17"/>
    </row>
    <row r="750" spans="2:3">
      <c r="B750" s="17"/>
      <c r="C750" s="17"/>
    </row>
    <row r="751" spans="2:3">
      <c r="B751" s="17"/>
      <c r="C751" s="17"/>
    </row>
    <row r="752" spans="2:3">
      <c r="B752" s="17"/>
      <c r="C752" s="17"/>
    </row>
    <row r="753" spans="2:3">
      <c r="B753" s="17"/>
      <c r="C753" s="17"/>
    </row>
    <row r="754" spans="2:3">
      <c r="B754" s="17"/>
      <c r="C754" s="17"/>
    </row>
    <row r="755" spans="2:3">
      <c r="B755" s="17"/>
      <c r="C755" s="17"/>
    </row>
    <row r="756" spans="2:3">
      <c r="B756" s="17"/>
      <c r="C756" s="17"/>
    </row>
    <row r="757" spans="2:3">
      <c r="B757" s="17"/>
      <c r="C757" s="17"/>
    </row>
    <row r="758" spans="2:3">
      <c r="B758" s="17"/>
      <c r="C758" s="17"/>
    </row>
    <row r="759" spans="2:3">
      <c r="B759" s="17"/>
      <c r="C759" s="17"/>
    </row>
    <row r="760" spans="2:3">
      <c r="B760" s="17"/>
      <c r="C760" s="17"/>
    </row>
    <row r="761" spans="2:3">
      <c r="B761" s="17"/>
      <c r="C761" s="17"/>
    </row>
    <row r="762" spans="2:3">
      <c r="B762" s="17"/>
      <c r="C762" s="17"/>
    </row>
    <row r="763" spans="2:3">
      <c r="B763" s="17"/>
      <c r="C763" s="17"/>
    </row>
    <row r="764" spans="2:3">
      <c r="B764" s="17"/>
      <c r="C764" s="17"/>
    </row>
    <row r="765" spans="2:3">
      <c r="B765" s="17"/>
      <c r="C765" s="17"/>
    </row>
    <row r="766" spans="2:3">
      <c r="B766" s="17"/>
      <c r="C766" s="17"/>
    </row>
    <row r="767" spans="2:3">
      <c r="B767" s="17"/>
      <c r="C767" s="17"/>
    </row>
    <row r="768" spans="2:3">
      <c r="B768" s="17"/>
      <c r="C768" s="17"/>
    </row>
    <row r="769" spans="2:3">
      <c r="B769" s="17"/>
      <c r="C769" s="17"/>
    </row>
    <row r="770" spans="2:3">
      <c r="B770" s="17"/>
      <c r="C770" s="17"/>
    </row>
    <row r="771" spans="2:3">
      <c r="B771" s="17"/>
      <c r="C771" s="17"/>
    </row>
    <row r="772" spans="2:3">
      <c r="B772" s="17"/>
      <c r="C772" s="17"/>
    </row>
    <row r="773" spans="2:3">
      <c r="B773" s="17"/>
      <c r="C773" s="17"/>
    </row>
    <row r="774" spans="2:3">
      <c r="B774" s="17"/>
      <c r="C774" s="17"/>
    </row>
    <row r="775" spans="2:3">
      <c r="B775" s="17"/>
      <c r="C775" s="17"/>
    </row>
    <row r="776" spans="2:3">
      <c r="B776" s="17"/>
      <c r="C776" s="17"/>
    </row>
    <row r="777" spans="2:3">
      <c r="B777" s="17"/>
      <c r="C777" s="17"/>
    </row>
    <row r="778" spans="2:3">
      <c r="B778" s="17"/>
      <c r="C778" s="17"/>
    </row>
    <row r="779" spans="2:3">
      <c r="B779" s="17"/>
      <c r="C779" s="17"/>
    </row>
    <row r="780" spans="2:3">
      <c r="B780" s="17"/>
      <c r="C780" s="17"/>
    </row>
    <row r="781" spans="2:3">
      <c r="B781" s="17"/>
      <c r="C781" s="17"/>
    </row>
    <row r="782" spans="2:3">
      <c r="B782" s="17"/>
      <c r="C782" s="17"/>
    </row>
    <row r="783" spans="2:3">
      <c r="B783" s="17"/>
      <c r="C783" s="17"/>
    </row>
    <row r="784" spans="2:3">
      <c r="B784" s="17"/>
      <c r="C784" s="17"/>
    </row>
    <row r="785" spans="2:3">
      <c r="B785" s="17"/>
      <c r="C785" s="17"/>
    </row>
    <row r="786" spans="2:3">
      <c r="B786" s="17"/>
      <c r="C786" s="17"/>
    </row>
    <row r="787" spans="2:3">
      <c r="B787" s="17"/>
      <c r="C787" s="17"/>
    </row>
    <row r="788" spans="2:3">
      <c r="B788" s="17"/>
      <c r="C788" s="17"/>
    </row>
    <row r="789" spans="2:3">
      <c r="B789" s="17"/>
      <c r="C789" s="17"/>
    </row>
    <row r="790" spans="2:3">
      <c r="B790" s="17"/>
      <c r="C790" s="17"/>
    </row>
    <row r="791" spans="2:3">
      <c r="B791" s="17"/>
      <c r="C791" s="17"/>
    </row>
    <row r="792" spans="2:3">
      <c r="B792" s="17"/>
      <c r="C792" s="17"/>
    </row>
    <row r="793" spans="2:3">
      <c r="B793" s="17"/>
      <c r="C793" s="17"/>
    </row>
    <row r="794" spans="2:3">
      <c r="B794" s="17"/>
      <c r="C794" s="17"/>
    </row>
    <row r="795" spans="2:3">
      <c r="B795" s="17"/>
      <c r="C795" s="17"/>
    </row>
    <row r="796" spans="2:3">
      <c r="B796" s="17"/>
      <c r="C796" s="17"/>
    </row>
    <row r="797" spans="2:3">
      <c r="B797" s="17"/>
      <c r="C797" s="17"/>
    </row>
    <row r="798" spans="2:3">
      <c r="B798" s="17"/>
      <c r="C798" s="17"/>
    </row>
    <row r="799" spans="2:3">
      <c r="B799" s="17"/>
      <c r="C799" s="17"/>
    </row>
    <row r="800" spans="2:3">
      <c r="B800" s="17"/>
      <c r="C800" s="17"/>
    </row>
    <row r="801" spans="2:3">
      <c r="B801" s="17"/>
      <c r="C801" s="17"/>
    </row>
    <row r="802" spans="2:3">
      <c r="B802" s="17"/>
      <c r="C802" s="17"/>
    </row>
    <row r="803" spans="2:3">
      <c r="B803" s="17"/>
      <c r="C803" s="17"/>
    </row>
    <row r="804" spans="2:3">
      <c r="B804" s="17"/>
      <c r="C804" s="17"/>
    </row>
    <row r="805" spans="2:3">
      <c r="B805" s="17"/>
      <c r="C805" s="17"/>
    </row>
    <row r="806" spans="2:3">
      <c r="B806" s="17"/>
      <c r="C806" s="17"/>
    </row>
    <row r="807" spans="2:3">
      <c r="B807" s="17"/>
      <c r="C807" s="17"/>
    </row>
    <row r="808" spans="2:3">
      <c r="B808" s="17"/>
      <c r="C808" s="17"/>
    </row>
    <row r="809" spans="2:3">
      <c r="B809" s="17"/>
      <c r="C809" s="17"/>
    </row>
    <row r="810" spans="2:3">
      <c r="B810" s="17"/>
      <c r="C810" s="17"/>
    </row>
    <row r="811" spans="2:3">
      <c r="B811" s="17"/>
      <c r="C811" s="17"/>
    </row>
    <row r="812" spans="2:3">
      <c r="B812" s="17"/>
      <c r="C812" s="17"/>
    </row>
    <row r="813" spans="2:3">
      <c r="B813" s="17"/>
      <c r="C813" s="17"/>
    </row>
    <row r="814" spans="2:3">
      <c r="B814" s="17"/>
      <c r="C814" s="17"/>
    </row>
    <row r="815" spans="2:3">
      <c r="B815" s="17"/>
      <c r="C815" s="17"/>
    </row>
    <row r="816" spans="2:3">
      <c r="B816" s="17"/>
      <c r="C816" s="17"/>
    </row>
    <row r="817" spans="2:3">
      <c r="B817" s="17"/>
      <c r="C817" s="17"/>
    </row>
    <row r="818" spans="2:3">
      <c r="B818" s="17"/>
      <c r="C818" s="17"/>
    </row>
    <row r="819" spans="2:3">
      <c r="B819" s="17"/>
      <c r="C819" s="17"/>
    </row>
    <row r="820" spans="2:3">
      <c r="B820" s="17"/>
      <c r="C820" s="17"/>
    </row>
    <row r="821" spans="2:3">
      <c r="B821" s="17"/>
      <c r="C821" s="17"/>
    </row>
    <row r="822" spans="2:3">
      <c r="B822" s="17"/>
      <c r="C822" s="17"/>
    </row>
    <row r="823" spans="2:3">
      <c r="B823" s="17"/>
      <c r="C823" s="17"/>
    </row>
    <row r="824" spans="2:3">
      <c r="B824" s="17"/>
      <c r="C824" s="17"/>
    </row>
    <row r="825" spans="2:3">
      <c r="B825" s="17"/>
      <c r="C825" s="17"/>
    </row>
    <row r="826" spans="2:3">
      <c r="B826" s="17"/>
      <c r="C826" s="17"/>
    </row>
    <row r="827" spans="2:3">
      <c r="B827" s="17"/>
      <c r="C827" s="17"/>
    </row>
    <row r="828" spans="2:3">
      <c r="B828" s="17"/>
      <c r="C828" s="17"/>
    </row>
    <row r="829" spans="2:3">
      <c r="B829" s="17"/>
      <c r="C829" s="17"/>
    </row>
    <row r="830" spans="2:3">
      <c r="B830" s="17"/>
      <c r="C830" s="17"/>
    </row>
    <row r="831" spans="2:3">
      <c r="B831" s="17"/>
      <c r="C831" s="17"/>
    </row>
    <row r="832" spans="2:3">
      <c r="B832" s="17"/>
      <c r="C832" s="17"/>
    </row>
    <row r="833" spans="2:3">
      <c r="B833" s="17"/>
      <c r="C833" s="17"/>
    </row>
    <row r="834" spans="2:3">
      <c r="B834" s="17"/>
      <c r="C834" s="17"/>
    </row>
    <row r="835" spans="2:3">
      <c r="B835" s="17"/>
      <c r="C835" s="17"/>
    </row>
    <row r="836" spans="2:3">
      <c r="B836" s="17"/>
      <c r="C836" s="17"/>
    </row>
    <row r="837" spans="2:3">
      <c r="B837" s="17"/>
      <c r="C837" s="17"/>
    </row>
    <row r="838" spans="2:3">
      <c r="B838" s="17"/>
      <c r="C838" s="17"/>
    </row>
    <row r="839" spans="2:3">
      <c r="B839" s="17"/>
      <c r="C839" s="17"/>
    </row>
    <row r="840" spans="2:3">
      <c r="B840" s="17"/>
      <c r="C840" s="17"/>
    </row>
    <row r="841" spans="2:3">
      <c r="B841" s="17"/>
      <c r="C841" s="17"/>
    </row>
    <row r="842" spans="2:3">
      <c r="B842" s="17"/>
      <c r="C842" s="17"/>
    </row>
    <row r="843" spans="2:3">
      <c r="B843" s="17"/>
      <c r="C843" s="17"/>
    </row>
    <row r="844" spans="2:3">
      <c r="B844" s="17"/>
      <c r="C844" s="17"/>
    </row>
    <row r="845" spans="2:3">
      <c r="B845" s="17"/>
      <c r="C845" s="17"/>
    </row>
    <row r="846" spans="2:3">
      <c r="B846" s="17"/>
      <c r="C846" s="17"/>
    </row>
    <row r="847" spans="2:3">
      <c r="B847" s="17"/>
      <c r="C847" s="17"/>
    </row>
    <row r="848" spans="2:3">
      <c r="B848" s="17"/>
      <c r="C848" s="17"/>
    </row>
    <row r="849" spans="2:3">
      <c r="B849" s="17"/>
      <c r="C849" s="17"/>
    </row>
    <row r="850" spans="2:3">
      <c r="B850" s="17"/>
      <c r="C850" s="17"/>
    </row>
    <row r="851" spans="2:3">
      <c r="B851" s="17"/>
      <c r="C851" s="17"/>
    </row>
    <row r="852" spans="2:3">
      <c r="B852" s="17"/>
      <c r="C852" s="17"/>
    </row>
    <row r="853" spans="2:3">
      <c r="B853" s="17"/>
      <c r="C853" s="17"/>
    </row>
    <row r="854" spans="2:3">
      <c r="B854" s="17"/>
      <c r="C854" s="17"/>
    </row>
    <row r="855" spans="2:3">
      <c r="B855" s="17"/>
      <c r="C855" s="17"/>
    </row>
    <row r="856" spans="2:3">
      <c r="B856" s="17"/>
      <c r="C856" s="17"/>
    </row>
    <row r="857" spans="2:3">
      <c r="B857" s="17"/>
      <c r="C857" s="17"/>
    </row>
    <row r="858" spans="2:3">
      <c r="B858" s="17"/>
      <c r="C858" s="17"/>
    </row>
    <row r="859" spans="2:3">
      <c r="B859" s="17"/>
      <c r="C859" s="17"/>
    </row>
    <row r="860" spans="2:3">
      <c r="B860" s="17"/>
      <c r="C860" s="17"/>
    </row>
    <row r="861" spans="2:3">
      <c r="B861" s="17"/>
      <c r="C861" s="17"/>
    </row>
    <row r="862" spans="2:3">
      <c r="B862" s="17"/>
      <c r="C862" s="17"/>
    </row>
    <row r="863" spans="2:3">
      <c r="B863" s="17"/>
      <c r="C863" s="17"/>
    </row>
    <row r="864" spans="2:3">
      <c r="B864" s="17"/>
      <c r="C864" s="17"/>
    </row>
    <row r="865" spans="2:3">
      <c r="B865" s="17"/>
      <c r="C865" s="17"/>
    </row>
    <row r="866" spans="2:3">
      <c r="B866" s="17"/>
      <c r="C866" s="17"/>
    </row>
    <row r="867" spans="2:3">
      <c r="B867" s="17"/>
      <c r="C867" s="17"/>
    </row>
    <row r="868" spans="2:3">
      <c r="B868" s="17"/>
      <c r="C868" s="17"/>
    </row>
    <row r="869" spans="2:3">
      <c r="B869" s="17"/>
      <c r="C869" s="17"/>
    </row>
    <row r="870" spans="2:3">
      <c r="B870" s="17"/>
      <c r="C870" s="17"/>
    </row>
    <row r="871" spans="2:3">
      <c r="B871" s="17"/>
      <c r="C871" s="17"/>
    </row>
    <row r="872" spans="2:3">
      <c r="B872" s="17"/>
      <c r="C872" s="17"/>
    </row>
    <row r="873" spans="2:3">
      <c r="B873" s="17"/>
      <c r="C873" s="17"/>
    </row>
    <row r="874" spans="2:3">
      <c r="B874" s="17"/>
      <c r="C874" s="17"/>
    </row>
    <row r="875" spans="2:3">
      <c r="B875" s="17"/>
      <c r="C875" s="17"/>
    </row>
    <row r="876" spans="2:3">
      <c r="B876" s="17"/>
      <c r="C876" s="17"/>
    </row>
    <row r="877" spans="2:3">
      <c r="B877" s="17"/>
      <c r="C877" s="17"/>
    </row>
    <row r="878" spans="2:3">
      <c r="B878" s="17"/>
      <c r="C878" s="17"/>
    </row>
    <row r="879" spans="2:3">
      <c r="B879" s="17"/>
      <c r="C879" s="17"/>
    </row>
    <row r="880" spans="2:3">
      <c r="B880" s="17"/>
      <c r="C880" s="17"/>
    </row>
    <row r="881" spans="2:3">
      <c r="B881" s="17"/>
      <c r="C881" s="17"/>
    </row>
    <row r="882" spans="2:3">
      <c r="B882" s="17"/>
      <c r="C882" s="17"/>
    </row>
    <row r="883" spans="2:3">
      <c r="B883" s="17"/>
      <c r="C883" s="17"/>
    </row>
    <row r="884" spans="2:3">
      <c r="B884" s="17"/>
      <c r="C884" s="17"/>
    </row>
    <row r="885" spans="2:3">
      <c r="B885" s="17"/>
      <c r="C885" s="17"/>
    </row>
    <row r="886" spans="2:3">
      <c r="B886" s="17"/>
      <c r="C886" s="17"/>
    </row>
    <row r="887" spans="2:3">
      <c r="B887" s="17"/>
      <c r="C887" s="17"/>
    </row>
    <row r="888" spans="2:3">
      <c r="B888" s="17"/>
      <c r="C888" s="17"/>
    </row>
    <row r="889" spans="2:3">
      <c r="B889" s="17"/>
      <c r="C889" s="17"/>
    </row>
    <row r="890" spans="2:3">
      <c r="B890" s="17"/>
      <c r="C890" s="17"/>
    </row>
    <row r="891" spans="2:3">
      <c r="B891" s="17"/>
      <c r="C891" s="17"/>
    </row>
    <row r="892" spans="2:3">
      <c r="B892" s="17"/>
      <c r="C892" s="17"/>
    </row>
    <row r="893" spans="2:3">
      <c r="B893" s="17"/>
      <c r="C893" s="17"/>
    </row>
    <row r="894" spans="2:3">
      <c r="B894" s="17"/>
      <c r="C894" s="17"/>
    </row>
    <row r="895" spans="2:3">
      <c r="B895" s="17"/>
      <c r="C895" s="17"/>
    </row>
    <row r="896" spans="2:3">
      <c r="B896" s="17"/>
      <c r="C896" s="17"/>
    </row>
    <row r="897" spans="2:3">
      <c r="B897" s="17"/>
      <c r="C897" s="17"/>
    </row>
    <row r="898" spans="2:3">
      <c r="B898" s="17"/>
      <c r="C898" s="17"/>
    </row>
    <row r="899" spans="2:3">
      <c r="B899" s="17"/>
      <c r="C899" s="17"/>
    </row>
    <row r="900" spans="2:3">
      <c r="B900" s="17"/>
      <c r="C900" s="17"/>
    </row>
    <row r="901" spans="2:3">
      <c r="B901" s="17"/>
      <c r="C901" s="17"/>
    </row>
    <row r="902" spans="2:3">
      <c r="B902" s="17"/>
      <c r="C902" s="17"/>
    </row>
    <row r="903" spans="2:3">
      <c r="B903" s="17"/>
      <c r="C903" s="17"/>
    </row>
    <row r="904" spans="2:3">
      <c r="B904" s="17"/>
      <c r="C904" s="17"/>
    </row>
    <row r="905" spans="2:3">
      <c r="B905" s="17"/>
      <c r="C905" s="17"/>
    </row>
    <row r="906" spans="2:3">
      <c r="B906" s="17"/>
      <c r="C906" s="17"/>
    </row>
    <row r="907" spans="2:3">
      <c r="B907" s="17"/>
      <c r="C907" s="17"/>
    </row>
    <row r="908" spans="2:3">
      <c r="B908" s="17"/>
      <c r="C908" s="17"/>
    </row>
    <row r="909" spans="2:3">
      <c r="B909" s="17"/>
      <c r="C909" s="17"/>
    </row>
    <row r="910" spans="2:3">
      <c r="B910" s="17"/>
      <c r="C910" s="17"/>
    </row>
    <row r="911" spans="2:3">
      <c r="B911" s="17"/>
      <c r="C911" s="17"/>
    </row>
    <row r="912" spans="2:3">
      <c r="B912" s="17"/>
      <c r="C912" s="17"/>
    </row>
    <row r="913" spans="2:3">
      <c r="B913" s="17"/>
      <c r="C913" s="17"/>
    </row>
    <row r="914" spans="2:3">
      <c r="B914" s="17"/>
      <c r="C914" s="17"/>
    </row>
    <row r="915" spans="2:3">
      <c r="B915" s="17"/>
      <c r="C915" s="17"/>
    </row>
    <row r="916" spans="2:3">
      <c r="B916" s="17"/>
      <c r="C916" s="17"/>
    </row>
    <row r="917" spans="2:3">
      <c r="B917" s="17"/>
      <c r="C917" s="17"/>
    </row>
    <row r="918" spans="2:3">
      <c r="B918" s="17"/>
      <c r="C918" s="17"/>
    </row>
    <row r="919" spans="2:3">
      <c r="B919" s="17"/>
      <c r="C919" s="17"/>
    </row>
    <row r="920" spans="2:3">
      <c r="B920" s="17"/>
      <c r="C920" s="17"/>
    </row>
    <row r="921" spans="2:3">
      <c r="B921" s="17"/>
      <c r="C921" s="17"/>
    </row>
    <row r="922" spans="2:3">
      <c r="B922" s="17"/>
      <c r="C922" s="17"/>
    </row>
    <row r="923" spans="2:3">
      <c r="B923" s="17"/>
      <c r="C923" s="17"/>
    </row>
    <row r="924" spans="2:3">
      <c r="B924" s="17"/>
      <c r="C924" s="17"/>
    </row>
    <row r="925" spans="2:3">
      <c r="B925" s="17"/>
      <c r="C925" s="17"/>
    </row>
    <row r="926" spans="2:3">
      <c r="B926" s="17"/>
      <c r="C926" s="17"/>
    </row>
    <row r="927" spans="2:3">
      <c r="B927" s="17"/>
      <c r="C927" s="17"/>
    </row>
    <row r="928" spans="2:3">
      <c r="B928" s="17"/>
      <c r="C928" s="17"/>
    </row>
    <row r="929" spans="2:3">
      <c r="B929" s="17"/>
      <c r="C929" s="17"/>
    </row>
    <row r="930" spans="2:3">
      <c r="B930" s="17"/>
      <c r="C930" s="17"/>
    </row>
    <row r="931" spans="2:3">
      <c r="B931" s="17"/>
      <c r="C931" s="17"/>
    </row>
    <row r="932" spans="2:3">
      <c r="B932" s="17"/>
      <c r="C932" s="17"/>
    </row>
    <row r="933" spans="2:3">
      <c r="B933" s="17"/>
      <c r="C933" s="17"/>
    </row>
    <row r="934" spans="2:3">
      <c r="B934" s="17"/>
      <c r="C934" s="17"/>
    </row>
    <row r="935" spans="2:3">
      <c r="B935" s="17"/>
      <c r="C935" s="17"/>
    </row>
    <row r="936" spans="2:3">
      <c r="B936" s="17"/>
      <c r="C936" s="17"/>
    </row>
    <row r="937" spans="2:3">
      <c r="B937" s="17"/>
      <c r="C937" s="17"/>
    </row>
    <row r="938" spans="2:3">
      <c r="B938" s="17"/>
      <c r="C938" s="17"/>
    </row>
    <row r="939" spans="2:3">
      <c r="B939" s="17"/>
      <c r="C939" s="17"/>
    </row>
    <row r="940" spans="2:3">
      <c r="B940" s="17"/>
      <c r="C940" s="17"/>
    </row>
    <row r="941" spans="2:3">
      <c r="B941" s="17"/>
      <c r="C941" s="17"/>
    </row>
    <row r="942" spans="2:3">
      <c r="B942" s="17"/>
      <c r="C942" s="17"/>
    </row>
    <row r="943" spans="2:3">
      <c r="B943" s="17"/>
      <c r="C943" s="17"/>
    </row>
    <row r="944" spans="2:3">
      <c r="B944" s="17"/>
      <c r="C944" s="17"/>
    </row>
    <row r="945" spans="2:3">
      <c r="B945" s="17"/>
      <c r="C945" s="17"/>
    </row>
    <row r="946" spans="2:3">
      <c r="B946" s="17"/>
      <c r="C946" s="17"/>
    </row>
    <row r="947" spans="2:3">
      <c r="B947" s="17"/>
      <c r="C947" s="17"/>
    </row>
    <row r="948" spans="2:3">
      <c r="B948" s="17"/>
      <c r="C948" s="17"/>
    </row>
    <row r="949" spans="2:3">
      <c r="B949" s="17"/>
      <c r="C949" s="17"/>
    </row>
    <row r="950" spans="2:3">
      <c r="B950" s="17"/>
      <c r="C950" s="17"/>
    </row>
    <row r="951" spans="2:3">
      <c r="B951" s="17"/>
      <c r="C951" s="17"/>
    </row>
    <row r="952" spans="2:3">
      <c r="B952" s="17"/>
      <c r="C952" s="17"/>
    </row>
    <row r="953" spans="2:3">
      <c r="B953" s="17"/>
      <c r="C953" s="17"/>
    </row>
    <row r="954" spans="2:3">
      <c r="B954" s="17"/>
      <c r="C954" s="17"/>
    </row>
    <row r="955" spans="2:3">
      <c r="B955" s="17"/>
      <c r="C955" s="17"/>
    </row>
    <row r="956" spans="2:3">
      <c r="B956" s="17"/>
      <c r="C956" s="17"/>
    </row>
    <row r="957" spans="2:3">
      <c r="B957" s="17"/>
      <c r="C957" s="17"/>
    </row>
    <row r="958" spans="2:3">
      <c r="B958" s="17"/>
      <c r="C958" s="17"/>
    </row>
    <row r="959" spans="2:3">
      <c r="B959" s="17"/>
      <c r="C959" s="17"/>
    </row>
    <row r="960" spans="2:3">
      <c r="B960" s="17"/>
      <c r="C960" s="17"/>
    </row>
    <row r="961" spans="2:3">
      <c r="B961" s="17"/>
      <c r="C961" s="17"/>
    </row>
    <row r="962" spans="2:3">
      <c r="B962" s="17"/>
      <c r="C962" s="17"/>
    </row>
    <row r="963" spans="2:3">
      <c r="B963" s="17"/>
      <c r="C963" s="17"/>
    </row>
    <row r="964" spans="2:3">
      <c r="B964" s="17"/>
      <c r="C964" s="17"/>
    </row>
    <row r="965" spans="2:3">
      <c r="B965" s="17"/>
      <c r="C965" s="17"/>
    </row>
    <row r="966" spans="2:3">
      <c r="B966" s="17"/>
      <c r="C966" s="17"/>
    </row>
    <row r="967" spans="2:3">
      <c r="B967" s="17"/>
      <c r="C967" s="17"/>
    </row>
    <row r="968" spans="2:3">
      <c r="B968" s="17"/>
      <c r="C968" s="17"/>
    </row>
    <row r="969" spans="2:3">
      <c r="B969" s="17"/>
      <c r="C969" s="17"/>
    </row>
    <row r="970" spans="2:3">
      <c r="B970" s="17"/>
      <c r="C970" s="17"/>
    </row>
    <row r="971" spans="2:3">
      <c r="B971" s="17"/>
      <c r="C971" s="17"/>
    </row>
    <row r="972" spans="2:3">
      <c r="B972" s="17"/>
      <c r="C972" s="17"/>
    </row>
    <row r="973" spans="2:3">
      <c r="B973" s="17"/>
      <c r="C973" s="17"/>
    </row>
    <row r="974" spans="2:3">
      <c r="B974" s="17"/>
      <c r="C974" s="17"/>
    </row>
    <row r="975" spans="2:3">
      <c r="B975" s="17"/>
      <c r="C975" s="17"/>
    </row>
    <row r="976" spans="2:3">
      <c r="B976" s="17"/>
      <c r="C976" s="17"/>
    </row>
    <row r="977" spans="2:3">
      <c r="B977" s="17"/>
      <c r="C977" s="17"/>
    </row>
    <row r="978" spans="2:3">
      <c r="B978" s="17"/>
      <c r="C978" s="17"/>
    </row>
    <row r="979" spans="2:3">
      <c r="B979" s="17"/>
      <c r="C979" s="17"/>
    </row>
    <row r="980" spans="2:3">
      <c r="B980" s="17"/>
      <c r="C980" s="17"/>
    </row>
    <row r="981" spans="2:3">
      <c r="B981" s="17"/>
      <c r="C981" s="17"/>
    </row>
    <row r="982" spans="2:3">
      <c r="B982" s="17"/>
      <c r="C982" s="17"/>
    </row>
    <row r="983" spans="2:3">
      <c r="B983" s="17"/>
      <c r="C983" s="17"/>
    </row>
    <row r="984" spans="2:3">
      <c r="B984" s="17"/>
      <c r="C984" s="17"/>
    </row>
    <row r="985" spans="2:3">
      <c r="B985" s="17"/>
      <c r="C985" s="17"/>
    </row>
    <row r="986" spans="2:3">
      <c r="B986" s="17"/>
      <c r="C986" s="17"/>
    </row>
    <row r="987" spans="2:3">
      <c r="B987" s="17"/>
      <c r="C987" s="17"/>
    </row>
    <row r="988" spans="2:3">
      <c r="B988" s="17"/>
      <c r="C988" s="17"/>
    </row>
    <row r="989" spans="2:3">
      <c r="B989" s="17"/>
      <c r="C989" s="17"/>
    </row>
    <row r="990" spans="2:3">
      <c r="B990" s="17"/>
      <c r="C990" s="17"/>
    </row>
    <row r="991" spans="2:3">
      <c r="B991" s="17"/>
      <c r="C991" s="17"/>
    </row>
    <row r="992" spans="2:3">
      <c r="B992" s="17"/>
      <c r="C992" s="17"/>
    </row>
    <row r="993" spans="2:3">
      <c r="B993" s="17"/>
      <c r="C993" s="17"/>
    </row>
    <row r="994" spans="2:3">
      <c r="B994" s="17"/>
      <c r="C994" s="17"/>
    </row>
    <row r="995" spans="2:3">
      <c r="B995" s="17"/>
      <c r="C995" s="17"/>
    </row>
    <row r="996" spans="2:3">
      <c r="B996" s="17"/>
      <c r="C996" s="17"/>
    </row>
    <row r="997" spans="2:3">
      <c r="B997" s="17"/>
      <c r="C997" s="17"/>
    </row>
    <row r="998" spans="2:3">
      <c r="B998" s="17"/>
      <c r="C998" s="17"/>
    </row>
    <row r="999" spans="2:3">
      <c r="B999" s="17"/>
      <c r="C999" s="17"/>
    </row>
    <row r="1000" spans="2:3">
      <c r="B1000" s="17"/>
      <c r="C1000" s="17"/>
    </row>
    <row r="1001" spans="2:3">
      <c r="B1001" s="17"/>
      <c r="C1001" s="17"/>
    </row>
    <row r="1002" spans="2:3">
      <c r="B1002" s="17"/>
      <c r="C1002" s="17"/>
    </row>
    <row r="1003" spans="2:3">
      <c r="B1003" s="17"/>
      <c r="C1003" s="17"/>
    </row>
    <row r="1004" spans="2:3">
      <c r="B1004" s="17"/>
      <c r="C1004" s="17"/>
    </row>
    <row r="1005" spans="2:3">
      <c r="B1005" s="17"/>
      <c r="C1005" s="17"/>
    </row>
    <row r="1006" spans="2:3">
      <c r="B1006" s="17"/>
      <c r="C1006" s="17"/>
    </row>
    <row r="1007" spans="2:3">
      <c r="B1007" s="17"/>
      <c r="C1007" s="17"/>
    </row>
    <row r="1008" spans="2:3">
      <c r="B1008" s="17"/>
      <c r="C1008" s="17"/>
    </row>
    <row r="1009" spans="2:3">
      <c r="B1009" s="17"/>
      <c r="C1009" s="17"/>
    </row>
    <row r="1010" spans="2:3">
      <c r="B1010" s="17"/>
      <c r="C1010" s="17"/>
    </row>
    <row r="1011" spans="2:3">
      <c r="B1011" s="17"/>
      <c r="C1011" s="17"/>
    </row>
    <row r="1012" spans="2:3">
      <c r="B1012" s="17"/>
      <c r="C1012" s="17"/>
    </row>
    <row r="1013" spans="2:3">
      <c r="B1013" s="17"/>
      <c r="C1013" s="17"/>
    </row>
    <row r="1014" spans="2:3">
      <c r="B1014" s="17"/>
      <c r="C1014" s="17"/>
    </row>
    <row r="1015" spans="2:3">
      <c r="B1015" s="17"/>
      <c r="C1015" s="17"/>
    </row>
    <row r="1016" spans="2:3">
      <c r="B1016" s="17"/>
      <c r="C1016" s="17"/>
    </row>
    <row r="1017" spans="2:3">
      <c r="B1017" s="17"/>
      <c r="C1017" s="17"/>
    </row>
    <row r="1018" spans="2:3">
      <c r="B1018" s="17"/>
      <c r="C1018" s="17"/>
    </row>
    <row r="1019" spans="2:3">
      <c r="B1019" s="17"/>
      <c r="C1019" s="17"/>
    </row>
    <row r="1020" spans="2:3">
      <c r="B1020" s="17"/>
      <c r="C1020" s="17"/>
    </row>
    <row r="1021" spans="2:3">
      <c r="B1021" s="17"/>
      <c r="C1021" s="17"/>
    </row>
    <row r="1022" spans="2:3">
      <c r="B1022" s="17"/>
      <c r="C1022" s="17"/>
    </row>
    <row r="1023" spans="2:3">
      <c r="B1023" s="17"/>
      <c r="C1023" s="17"/>
    </row>
    <row r="1024" spans="2:3">
      <c r="B1024" s="17"/>
      <c r="C1024" s="17"/>
    </row>
    <row r="1025" spans="2:3">
      <c r="B1025" s="17"/>
      <c r="C1025" s="17"/>
    </row>
    <row r="1026" spans="2:3">
      <c r="B1026" s="17"/>
      <c r="C1026" s="17"/>
    </row>
    <row r="1027" spans="2:3">
      <c r="B1027" s="17"/>
      <c r="C1027" s="17"/>
    </row>
    <row r="1028" spans="2:3">
      <c r="B1028" s="17"/>
      <c r="C1028" s="17"/>
    </row>
    <row r="1029" spans="2:3">
      <c r="B1029" s="17"/>
      <c r="C1029" s="17"/>
    </row>
    <row r="1030" spans="2:3">
      <c r="B1030" s="17"/>
      <c r="C1030" s="17"/>
    </row>
    <row r="1031" spans="2:3">
      <c r="B1031" s="17"/>
      <c r="C1031" s="17"/>
    </row>
    <row r="1032" spans="2:3">
      <c r="B1032" s="17"/>
      <c r="C1032" s="17"/>
    </row>
    <row r="1033" spans="2:3">
      <c r="B1033" s="17"/>
      <c r="C1033" s="17"/>
    </row>
    <row r="1034" spans="2:3">
      <c r="B1034" s="17"/>
      <c r="C1034" s="17"/>
    </row>
    <row r="1035" spans="2:3">
      <c r="B1035" s="17"/>
      <c r="C1035" s="17"/>
    </row>
    <row r="1036" spans="2:3">
      <c r="B1036" s="17"/>
      <c r="C1036" s="17"/>
    </row>
    <row r="1037" spans="2:3">
      <c r="B1037" s="17"/>
      <c r="C1037" s="17"/>
    </row>
    <row r="1038" spans="2:3">
      <c r="B1038" s="17"/>
      <c r="C1038" s="17"/>
    </row>
    <row r="1039" spans="2:3">
      <c r="B1039" s="17"/>
      <c r="C1039" s="17"/>
    </row>
    <row r="1040" spans="2:3">
      <c r="B1040" s="17"/>
      <c r="C1040" s="17"/>
    </row>
    <row r="1041" spans="2:3">
      <c r="B1041" s="17"/>
      <c r="C1041" s="17"/>
    </row>
    <row r="1042" spans="2:3">
      <c r="B1042" s="17"/>
      <c r="C1042" s="17"/>
    </row>
    <row r="1043" spans="2:3">
      <c r="B1043" s="17"/>
      <c r="C1043" s="17"/>
    </row>
    <row r="1044" spans="2:3">
      <c r="B1044" s="17"/>
      <c r="C1044" s="17"/>
    </row>
    <row r="1045" spans="2:3">
      <c r="B1045" s="17"/>
      <c r="C1045" s="17"/>
    </row>
    <row r="1046" spans="2:3">
      <c r="B1046" s="17"/>
      <c r="C1046" s="17"/>
    </row>
    <row r="1047" spans="2:3">
      <c r="B1047" s="17"/>
      <c r="C1047" s="17"/>
    </row>
    <row r="1048" spans="2:3">
      <c r="B1048" s="17"/>
      <c r="C1048" s="17"/>
    </row>
    <row r="1049" spans="2:3">
      <c r="B1049" s="17"/>
      <c r="C1049" s="17"/>
    </row>
    <row r="1050" spans="2:3">
      <c r="B1050" s="17"/>
      <c r="C1050" s="17"/>
    </row>
    <row r="1051" spans="2:3">
      <c r="B1051" s="17"/>
      <c r="C1051" s="17"/>
    </row>
    <row r="1052" spans="2:3">
      <c r="B1052" s="17"/>
      <c r="C1052" s="17"/>
    </row>
    <row r="1053" spans="2:3">
      <c r="B1053" s="17"/>
      <c r="C1053" s="17"/>
    </row>
    <row r="1054" spans="2:3">
      <c r="B1054" s="17"/>
      <c r="C1054" s="17"/>
    </row>
    <row r="1055" spans="2:3">
      <c r="B1055" s="17"/>
      <c r="C1055" s="17"/>
    </row>
    <row r="1056" spans="2:3">
      <c r="B1056" s="17"/>
      <c r="C1056" s="17"/>
    </row>
    <row r="1057" spans="2:3">
      <c r="B1057" s="17"/>
      <c r="C1057" s="17"/>
    </row>
    <row r="1058" spans="2:3">
      <c r="B1058" s="17"/>
      <c r="C1058" s="17"/>
    </row>
    <row r="1059" spans="2:3">
      <c r="B1059" s="17"/>
      <c r="C1059" s="17"/>
    </row>
    <row r="1060" spans="2:3">
      <c r="B1060" s="17"/>
      <c r="C1060" s="17"/>
    </row>
    <row r="1061" spans="2:3">
      <c r="B1061" s="17"/>
      <c r="C1061" s="17"/>
    </row>
    <row r="1062" spans="2:3">
      <c r="B1062" s="17"/>
      <c r="C1062" s="17"/>
    </row>
    <row r="1063" spans="2:3">
      <c r="B1063" s="17"/>
      <c r="C1063" s="17"/>
    </row>
    <row r="1064" spans="2:3">
      <c r="B1064" s="17"/>
      <c r="C1064" s="17"/>
    </row>
    <row r="1065" spans="2:3">
      <c r="B1065" s="17"/>
      <c r="C1065" s="17"/>
    </row>
    <row r="1066" spans="2:3">
      <c r="B1066" s="17"/>
      <c r="C1066" s="17"/>
    </row>
    <row r="1067" spans="2:3">
      <c r="B1067" s="17"/>
      <c r="C1067" s="17"/>
    </row>
    <row r="1068" spans="2:3">
      <c r="B1068" s="17"/>
      <c r="C1068" s="17"/>
    </row>
    <row r="1069" spans="2:3">
      <c r="B1069" s="17"/>
      <c r="C1069" s="17"/>
    </row>
    <row r="1070" spans="2:3">
      <c r="B1070" s="17"/>
      <c r="C1070" s="17"/>
    </row>
    <row r="1071" spans="2:3">
      <c r="B1071" s="17"/>
      <c r="C1071" s="17"/>
    </row>
    <row r="1072" spans="2:3">
      <c r="B1072" s="17"/>
      <c r="C1072" s="17"/>
    </row>
    <row r="1073" spans="2:3">
      <c r="B1073" s="17"/>
      <c r="C1073" s="17"/>
    </row>
    <row r="1074" spans="2:3">
      <c r="B1074" s="17"/>
      <c r="C1074" s="17"/>
    </row>
    <row r="1075" spans="2:3">
      <c r="B1075" s="17"/>
      <c r="C1075" s="17"/>
    </row>
    <row r="1076" spans="2:3">
      <c r="B1076" s="17"/>
      <c r="C1076" s="17"/>
    </row>
    <row r="1077" spans="2:3">
      <c r="B1077" s="17"/>
      <c r="C1077" s="17"/>
    </row>
    <row r="1078" spans="2:3">
      <c r="B1078" s="17"/>
      <c r="C1078" s="17"/>
    </row>
    <row r="1079" spans="2:3">
      <c r="B1079" s="17"/>
      <c r="C1079" s="17"/>
    </row>
    <row r="1080" spans="2:3">
      <c r="B1080" s="17"/>
      <c r="C1080" s="17"/>
    </row>
    <row r="1081" spans="2:3">
      <c r="B1081" s="17"/>
      <c r="C1081" s="17"/>
    </row>
    <row r="1082" spans="2:3">
      <c r="B1082" s="17"/>
      <c r="C1082" s="17"/>
    </row>
    <row r="1083" spans="2:3">
      <c r="B1083" s="17"/>
      <c r="C1083" s="17"/>
    </row>
    <row r="1084" spans="2:3">
      <c r="B1084" s="17"/>
      <c r="C1084" s="17"/>
    </row>
    <row r="1085" spans="2:3">
      <c r="B1085" s="17"/>
      <c r="C1085" s="17"/>
    </row>
    <row r="1086" spans="2:3">
      <c r="B1086" s="17"/>
      <c r="C1086" s="17"/>
    </row>
    <row r="1087" spans="2:3">
      <c r="B1087" s="17"/>
      <c r="C1087" s="17"/>
    </row>
    <row r="1088" spans="2:3">
      <c r="B1088" s="17"/>
      <c r="C1088" s="17"/>
    </row>
    <row r="1089" spans="2:3">
      <c r="B1089" s="17"/>
      <c r="C1089" s="17"/>
    </row>
    <row r="1090" spans="2:3">
      <c r="B1090" s="17"/>
      <c r="C1090" s="17"/>
    </row>
    <row r="1091" spans="2:3">
      <c r="B1091" s="17"/>
      <c r="C1091" s="17"/>
    </row>
    <row r="1092" spans="2:3">
      <c r="B1092" s="17"/>
      <c r="C1092" s="17"/>
    </row>
    <row r="1093" spans="2:3">
      <c r="B1093" s="17"/>
      <c r="C1093" s="17"/>
    </row>
    <row r="1094" spans="2:3">
      <c r="B1094" s="17"/>
      <c r="C1094" s="17"/>
    </row>
    <row r="1095" spans="2:3">
      <c r="B1095" s="17"/>
      <c r="C1095" s="17"/>
    </row>
    <row r="1096" spans="2:3">
      <c r="B1096" s="17"/>
      <c r="C1096" s="17"/>
    </row>
    <row r="1097" spans="2:3">
      <c r="B1097" s="17"/>
      <c r="C1097" s="17"/>
    </row>
    <row r="1098" spans="2:3">
      <c r="B1098" s="17"/>
      <c r="C1098" s="17"/>
    </row>
    <row r="1099" spans="2:3">
      <c r="B1099" s="17"/>
      <c r="C1099" s="17"/>
    </row>
    <row r="1100" spans="2:3">
      <c r="B1100" s="17"/>
      <c r="C1100" s="17"/>
    </row>
    <row r="1101" spans="2:3">
      <c r="B1101" s="17"/>
      <c r="C1101" s="17"/>
    </row>
    <row r="1102" spans="2:3">
      <c r="B1102" s="17"/>
      <c r="C1102" s="17"/>
    </row>
    <row r="1103" spans="2:3">
      <c r="B1103" s="17"/>
      <c r="C1103" s="17"/>
    </row>
    <row r="1104" spans="2:3">
      <c r="B1104" s="17"/>
      <c r="C1104" s="17"/>
    </row>
    <row r="1105" spans="2:3">
      <c r="B1105" s="17"/>
      <c r="C1105" s="17"/>
    </row>
    <row r="1106" spans="2:3">
      <c r="B1106" s="17"/>
      <c r="C1106" s="17"/>
    </row>
    <row r="1107" spans="2:3">
      <c r="B1107" s="17"/>
      <c r="C1107" s="17"/>
    </row>
    <row r="1108" spans="2:3">
      <c r="B1108" s="17"/>
      <c r="C1108" s="17"/>
    </row>
    <row r="1109" spans="2:3">
      <c r="B1109" s="17"/>
      <c r="C1109" s="17"/>
    </row>
    <row r="1110" spans="2:3">
      <c r="B1110" s="17"/>
      <c r="C1110" s="17"/>
    </row>
    <row r="1111" spans="2:3">
      <c r="B1111" s="17"/>
      <c r="C1111" s="17"/>
    </row>
    <row r="1112" spans="2:3">
      <c r="B1112" s="17"/>
      <c r="C1112" s="17"/>
    </row>
    <row r="1113" spans="2:3">
      <c r="B1113" s="17"/>
      <c r="C1113" s="17"/>
    </row>
    <row r="1114" spans="2:3">
      <c r="B1114" s="17"/>
      <c r="C1114" s="17"/>
    </row>
    <row r="1115" spans="2:3">
      <c r="B1115" s="17"/>
      <c r="C1115" s="17"/>
    </row>
    <row r="1116" spans="2:3">
      <c r="B1116" s="17"/>
      <c r="C1116" s="17"/>
    </row>
    <row r="1117" spans="2:3">
      <c r="B1117" s="17"/>
      <c r="C1117" s="17"/>
    </row>
    <row r="1118" spans="2:3">
      <c r="B1118" s="17"/>
      <c r="C1118" s="17"/>
    </row>
    <row r="1119" spans="2:3">
      <c r="B1119" s="17"/>
      <c r="C1119" s="17"/>
    </row>
    <row r="1120" spans="2:3">
      <c r="B1120" s="17"/>
      <c r="C1120" s="17"/>
    </row>
    <row r="1121" spans="2:3">
      <c r="B1121" s="17"/>
      <c r="C1121" s="17"/>
    </row>
    <row r="1122" spans="2:3">
      <c r="B1122" s="17"/>
      <c r="C1122" s="17"/>
    </row>
    <row r="1123" spans="2:3">
      <c r="B1123" s="17"/>
      <c r="C1123" s="17"/>
    </row>
    <row r="1124" spans="2:3">
      <c r="B1124" s="17"/>
      <c r="C1124" s="17"/>
    </row>
    <row r="1125" spans="2:3">
      <c r="B1125" s="17"/>
      <c r="C1125" s="17"/>
    </row>
    <row r="1126" spans="2:3">
      <c r="B1126" s="17"/>
      <c r="C1126" s="17"/>
    </row>
    <row r="1127" spans="2:3">
      <c r="B1127" s="17"/>
      <c r="C1127" s="17"/>
    </row>
    <row r="1128" spans="2:3">
      <c r="B1128" s="17"/>
      <c r="C1128" s="17"/>
    </row>
    <row r="1129" spans="2:3">
      <c r="B1129" s="17"/>
      <c r="C1129" s="17"/>
    </row>
    <row r="1130" spans="2:3">
      <c r="B1130" s="17"/>
      <c r="C1130" s="17"/>
    </row>
    <row r="1131" spans="2:3">
      <c r="B1131" s="17"/>
      <c r="C1131" s="17"/>
    </row>
    <row r="1132" spans="2:3">
      <c r="B1132" s="17"/>
      <c r="C1132" s="17"/>
    </row>
    <row r="1133" spans="2:3">
      <c r="B1133" s="17"/>
      <c r="C1133" s="17"/>
    </row>
    <row r="1134" spans="2:3">
      <c r="B1134" s="17"/>
      <c r="C1134" s="17"/>
    </row>
    <row r="1135" spans="2:3">
      <c r="B1135" s="17"/>
      <c r="C1135" s="17"/>
    </row>
    <row r="1136" spans="2:3">
      <c r="B1136" s="17"/>
      <c r="C1136" s="17"/>
    </row>
    <row r="1137" spans="2:3">
      <c r="B1137" s="17"/>
      <c r="C1137" s="17"/>
    </row>
    <row r="1138" spans="2:3">
      <c r="B1138" s="17"/>
      <c r="C1138" s="17"/>
    </row>
    <row r="1139" spans="2:3">
      <c r="B1139" s="17"/>
      <c r="C1139" s="17"/>
    </row>
    <row r="1140" spans="2:3">
      <c r="B1140" s="17"/>
      <c r="C1140" s="17"/>
    </row>
    <row r="1141" spans="2:3">
      <c r="B1141" s="17"/>
      <c r="C1141" s="17"/>
    </row>
    <row r="1142" spans="2:3">
      <c r="B1142" s="17"/>
      <c r="C1142" s="17"/>
    </row>
    <row r="1143" spans="2:3">
      <c r="B1143" s="17"/>
      <c r="C1143" s="17"/>
    </row>
    <row r="1144" spans="2:3">
      <c r="B1144" s="17"/>
      <c r="C1144" s="17"/>
    </row>
    <row r="1145" spans="2:3">
      <c r="B1145" s="17"/>
      <c r="C1145" s="17"/>
    </row>
    <row r="1146" spans="2:3">
      <c r="B1146" s="17"/>
      <c r="C1146" s="17"/>
    </row>
    <row r="1147" spans="2:3">
      <c r="B1147" s="17"/>
      <c r="C1147" s="17"/>
    </row>
    <row r="1148" spans="2:3">
      <c r="B1148" s="17"/>
      <c r="C1148" s="17"/>
    </row>
    <row r="1149" spans="2:3">
      <c r="B1149" s="17"/>
      <c r="C1149" s="17"/>
    </row>
    <row r="1150" spans="2:3">
      <c r="B1150" s="17"/>
      <c r="C1150" s="17"/>
    </row>
    <row r="1151" spans="2:3">
      <c r="B1151" s="17"/>
      <c r="C1151" s="17"/>
    </row>
    <row r="1152" spans="2:3">
      <c r="B1152" s="17"/>
      <c r="C1152" s="17"/>
    </row>
    <row r="1153" spans="2:3">
      <c r="B1153" s="17"/>
      <c r="C1153" s="17"/>
    </row>
    <row r="1154" spans="2:3">
      <c r="B1154" s="17"/>
      <c r="C1154" s="17"/>
    </row>
    <row r="1155" spans="2:3">
      <c r="B1155" s="17"/>
      <c r="C1155" s="17"/>
    </row>
    <row r="1156" spans="2:3">
      <c r="B1156" s="17"/>
      <c r="C1156" s="17"/>
    </row>
    <row r="1157" spans="2:3">
      <c r="B1157" s="17"/>
      <c r="C1157" s="17"/>
    </row>
    <row r="1158" spans="2:3">
      <c r="B1158" s="17"/>
      <c r="C1158" s="17"/>
    </row>
    <row r="1159" spans="2:3">
      <c r="B1159" s="17"/>
      <c r="C1159" s="17"/>
    </row>
    <row r="1160" spans="2:3">
      <c r="B1160" s="17"/>
      <c r="C1160" s="17"/>
    </row>
    <row r="1161" spans="2:3">
      <c r="B1161" s="17"/>
      <c r="C1161" s="17"/>
    </row>
    <row r="1162" spans="2:3">
      <c r="B1162" s="17"/>
      <c r="C1162" s="17"/>
    </row>
    <row r="1163" spans="2:3">
      <c r="B1163" s="17"/>
      <c r="C1163" s="17"/>
    </row>
    <row r="1164" spans="2:3">
      <c r="B1164" s="17"/>
      <c r="C1164" s="17"/>
    </row>
    <row r="1165" spans="2:3">
      <c r="B1165" s="17"/>
      <c r="C1165" s="17"/>
    </row>
    <row r="1166" spans="2:3">
      <c r="B1166" s="17"/>
      <c r="C1166" s="17"/>
    </row>
    <row r="1167" spans="2:3">
      <c r="B1167" s="17"/>
      <c r="C1167" s="17"/>
    </row>
    <row r="1168" spans="2:3">
      <c r="B1168" s="17"/>
      <c r="C1168" s="17"/>
    </row>
    <row r="1169" spans="2:3">
      <c r="B1169" s="17"/>
      <c r="C1169" s="17"/>
    </row>
    <row r="1170" spans="2:3">
      <c r="B1170" s="17"/>
      <c r="C1170" s="17"/>
    </row>
    <row r="1171" spans="2:3">
      <c r="B1171" s="17"/>
      <c r="C1171" s="17"/>
    </row>
    <row r="1172" spans="2:3">
      <c r="B1172" s="17"/>
      <c r="C1172" s="17"/>
    </row>
    <row r="1173" spans="2:3">
      <c r="B1173" s="17"/>
      <c r="C1173" s="17"/>
    </row>
    <row r="1174" spans="2:3">
      <c r="B1174" s="17"/>
      <c r="C1174" s="17"/>
    </row>
    <row r="1175" spans="2:3">
      <c r="B1175" s="17"/>
      <c r="C1175" s="17"/>
    </row>
    <row r="1176" spans="2:3">
      <c r="B1176" s="17"/>
      <c r="C1176" s="17"/>
    </row>
    <row r="1177" spans="2:3">
      <c r="B1177" s="17"/>
      <c r="C1177" s="17"/>
    </row>
    <row r="1178" spans="2:3">
      <c r="B1178" s="17"/>
      <c r="C1178" s="17"/>
    </row>
    <row r="1179" spans="2:3">
      <c r="B1179" s="17"/>
      <c r="C1179" s="17"/>
    </row>
    <row r="1180" spans="2:3">
      <c r="B1180" s="17"/>
      <c r="C1180" s="17"/>
    </row>
    <row r="1181" spans="2:3">
      <c r="B1181" s="17"/>
      <c r="C1181" s="17"/>
    </row>
    <row r="1182" spans="2:3">
      <c r="B1182" s="17"/>
      <c r="C1182" s="17"/>
    </row>
    <row r="1183" spans="2:3">
      <c r="B1183" s="17"/>
      <c r="C1183" s="17"/>
    </row>
    <row r="1184" spans="2:3">
      <c r="B1184" s="17"/>
      <c r="C1184" s="17"/>
    </row>
    <row r="1185" spans="2:3">
      <c r="B1185" s="17"/>
      <c r="C1185" s="17"/>
    </row>
    <row r="1186" spans="2:3">
      <c r="B1186" s="17"/>
      <c r="C1186" s="17"/>
    </row>
    <row r="1187" spans="2:3">
      <c r="B1187" s="17"/>
      <c r="C1187" s="17"/>
    </row>
    <row r="1188" spans="2:3">
      <c r="B1188" s="17"/>
      <c r="C1188" s="17"/>
    </row>
    <row r="1189" spans="2:3">
      <c r="B1189" s="17"/>
      <c r="C1189" s="17"/>
    </row>
    <row r="1190" spans="2:3">
      <c r="B1190" s="17"/>
      <c r="C1190" s="17"/>
    </row>
    <row r="1191" spans="2:3">
      <c r="B1191" s="17"/>
      <c r="C1191" s="17"/>
    </row>
    <row r="1192" spans="2:3">
      <c r="B1192" s="17"/>
      <c r="C1192" s="17"/>
    </row>
    <row r="1193" spans="2:3">
      <c r="B1193" s="17"/>
      <c r="C1193" s="17"/>
    </row>
    <row r="1194" spans="2:3">
      <c r="B1194" s="17"/>
      <c r="C1194" s="17"/>
    </row>
    <row r="1195" spans="2:3">
      <c r="B1195" s="17"/>
      <c r="C1195" s="17"/>
    </row>
    <row r="1196" spans="2:3">
      <c r="B1196" s="17"/>
      <c r="C1196" s="17"/>
    </row>
    <row r="1197" spans="2:3">
      <c r="B1197" s="17"/>
      <c r="C1197" s="17"/>
    </row>
    <row r="1198" spans="2:3">
      <c r="B1198" s="17"/>
      <c r="C1198" s="17"/>
    </row>
    <row r="1199" spans="2:3">
      <c r="B1199" s="17"/>
      <c r="C1199" s="17"/>
    </row>
    <row r="1200" spans="2:3">
      <c r="B1200" s="17"/>
      <c r="C1200" s="17"/>
    </row>
    <row r="1201" spans="2:3">
      <c r="B1201" s="17"/>
      <c r="C1201" s="17"/>
    </row>
    <row r="1202" spans="2:3">
      <c r="B1202" s="17"/>
      <c r="C1202" s="17"/>
    </row>
    <row r="1203" spans="2:3">
      <c r="B1203" s="17"/>
      <c r="C1203" s="17"/>
    </row>
    <row r="1204" spans="2:3">
      <c r="B1204" s="17"/>
      <c r="C1204" s="17"/>
    </row>
    <row r="1205" spans="2:3">
      <c r="B1205" s="17"/>
      <c r="C1205" s="17"/>
    </row>
    <row r="1206" spans="2:3">
      <c r="B1206" s="17"/>
      <c r="C1206" s="17"/>
    </row>
    <row r="1207" spans="2:3">
      <c r="B1207" s="17"/>
      <c r="C1207" s="17"/>
    </row>
    <row r="1208" spans="2:3">
      <c r="B1208" s="17"/>
      <c r="C1208" s="17"/>
    </row>
    <row r="1209" spans="2:3">
      <c r="B1209" s="17"/>
      <c r="C1209" s="17"/>
    </row>
    <row r="1210" spans="2:3">
      <c r="B1210" s="17"/>
      <c r="C1210" s="17"/>
    </row>
    <row r="1211" spans="2:3">
      <c r="B1211" s="17"/>
      <c r="C1211" s="17"/>
    </row>
    <row r="1212" spans="2:3">
      <c r="B1212" s="17"/>
      <c r="C1212" s="17"/>
    </row>
    <row r="1213" spans="2:3">
      <c r="B1213" s="17"/>
      <c r="C1213" s="17"/>
    </row>
    <row r="1214" spans="2:3">
      <c r="B1214" s="17"/>
      <c r="C1214" s="17"/>
    </row>
    <row r="1215" spans="2:3">
      <c r="B1215" s="17"/>
      <c r="C1215" s="17"/>
    </row>
    <row r="1216" spans="2:3">
      <c r="B1216" s="17"/>
      <c r="C1216" s="17"/>
    </row>
    <row r="1217" spans="2:3">
      <c r="B1217" s="17"/>
      <c r="C1217" s="17"/>
    </row>
    <row r="1218" spans="2:3">
      <c r="B1218" s="17"/>
      <c r="C1218" s="17"/>
    </row>
    <row r="1219" spans="2:3">
      <c r="B1219" s="17"/>
      <c r="C1219" s="17"/>
    </row>
    <row r="1220" spans="2:3">
      <c r="B1220" s="17"/>
      <c r="C1220" s="17"/>
    </row>
    <row r="1221" spans="2:3">
      <c r="B1221" s="17"/>
      <c r="C1221" s="17"/>
    </row>
    <row r="1222" spans="2:3">
      <c r="B1222" s="17"/>
      <c r="C1222" s="17"/>
    </row>
    <row r="1223" spans="2:3">
      <c r="B1223" s="17"/>
      <c r="C1223" s="17"/>
    </row>
    <row r="1224" spans="2:3">
      <c r="B1224" s="17"/>
      <c r="C1224" s="17"/>
    </row>
    <row r="1225" spans="2:3">
      <c r="B1225" s="17"/>
      <c r="C1225" s="17"/>
    </row>
    <row r="1226" spans="2:3">
      <c r="B1226" s="17"/>
      <c r="C1226" s="17"/>
    </row>
    <row r="1227" spans="2:3">
      <c r="B1227" s="17"/>
      <c r="C1227" s="17"/>
    </row>
    <row r="1228" spans="2:3">
      <c r="B1228" s="17"/>
      <c r="C1228" s="17"/>
    </row>
    <row r="1229" spans="2:3">
      <c r="B1229" s="17"/>
      <c r="C1229" s="17"/>
    </row>
    <row r="1230" spans="2:3">
      <c r="B1230" s="17"/>
      <c r="C1230" s="17"/>
    </row>
    <row r="1231" spans="2:3">
      <c r="B1231" s="17"/>
      <c r="C1231" s="17"/>
    </row>
    <row r="1232" spans="2:3">
      <c r="B1232" s="17"/>
      <c r="C1232" s="17"/>
    </row>
    <row r="1233" spans="2:3">
      <c r="B1233" s="17"/>
      <c r="C1233" s="17"/>
    </row>
    <row r="1234" spans="2:3">
      <c r="B1234" s="17"/>
      <c r="C1234" s="17"/>
    </row>
    <row r="1235" spans="2:3">
      <c r="B1235" s="17"/>
      <c r="C1235" s="17"/>
    </row>
    <row r="1236" spans="2:3">
      <c r="B1236" s="17"/>
      <c r="C1236" s="17"/>
    </row>
    <row r="1237" spans="2:3">
      <c r="B1237" s="17"/>
      <c r="C1237" s="17"/>
    </row>
    <row r="1238" spans="2:3">
      <c r="B1238" s="17"/>
      <c r="C1238" s="17"/>
    </row>
    <row r="1239" spans="2:3">
      <c r="B1239" s="17"/>
      <c r="C1239" s="17"/>
    </row>
    <row r="1240" spans="2:3">
      <c r="B1240" s="17"/>
      <c r="C1240" s="17"/>
    </row>
    <row r="1241" spans="2:3">
      <c r="B1241" s="17"/>
      <c r="C1241" s="17"/>
    </row>
    <row r="1242" spans="2:3">
      <c r="B1242" s="17"/>
      <c r="C1242" s="17"/>
    </row>
    <row r="1243" spans="2:3">
      <c r="B1243" s="17"/>
      <c r="C1243" s="17"/>
    </row>
    <row r="1244" spans="2:3">
      <c r="B1244" s="17"/>
      <c r="C1244" s="17"/>
    </row>
    <row r="1245" spans="2:3">
      <c r="B1245" s="17"/>
      <c r="C1245" s="17"/>
    </row>
    <row r="1246" spans="2:3">
      <c r="B1246" s="17"/>
      <c r="C1246" s="17"/>
    </row>
    <row r="1247" spans="2:3">
      <c r="B1247" s="17"/>
      <c r="C1247" s="17"/>
    </row>
    <row r="1248" spans="2:3">
      <c r="B1248" s="17"/>
      <c r="C1248" s="17"/>
    </row>
    <row r="1249" spans="2:3">
      <c r="B1249" s="17"/>
      <c r="C1249" s="17"/>
    </row>
    <row r="1250" spans="2:3">
      <c r="B1250" s="17"/>
      <c r="C1250" s="17"/>
    </row>
    <row r="1251" spans="2:3">
      <c r="B1251" s="17"/>
      <c r="C1251" s="17"/>
    </row>
    <row r="1252" spans="2:3">
      <c r="B1252" s="17"/>
      <c r="C1252" s="17"/>
    </row>
    <row r="1253" spans="2:3">
      <c r="B1253" s="17"/>
      <c r="C1253" s="17"/>
    </row>
    <row r="1254" spans="2:3">
      <c r="B1254" s="17"/>
      <c r="C1254" s="17"/>
    </row>
    <row r="1255" spans="2:3">
      <c r="B1255" s="17"/>
      <c r="C1255" s="17"/>
    </row>
    <row r="1256" spans="2:3">
      <c r="B1256" s="17"/>
      <c r="C1256" s="17"/>
    </row>
    <row r="1257" spans="2:3">
      <c r="B1257" s="17"/>
      <c r="C1257" s="17"/>
    </row>
    <row r="1258" spans="2:3">
      <c r="B1258" s="17"/>
      <c r="C1258" s="17"/>
    </row>
    <row r="1259" spans="2:3">
      <c r="B1259" s="17"/>
      <c r="C1259" s="17"/>
    </row>
    <row r="1260" spans="2:3">
      <c r="B1260" s="17"/>
      <c r="C1260" s="17"/>
    </row>
    <row r="1261" spans="2:3">
      <c r="B1261" s="17"/>
      <c r="C1261" s="17"/>
    </row>
    <row r="1262" spans="2:3">
      <c r="B1262" s="17"/>
      <c r="C1262" s="17"/>
    </row>
    <row r="1263" spans="2:3">
      <c r="B1263" s="17"/>
      <c r="C1263" s="17"/>
    </row>
    <row r="1264" spans="2:3">
      <c r="B1264" s="17"/>
      <c r="C1264" s="17"/>
    </row>
    <row r="1265" spans="2:3">
      <c r="B1265" s="17"/>
      <c r="C1265" s="17"/>
    </row>
    <row r="1266" spans="2:3">
      <c r="B1266" s="17"/>
      <c r="C1266" s="17"/>
    </row>
    <row r="1267" spans="2:3">
      <c r="B1267" s="17"/>
      <c r="C1267" s="17"/>
    </row>
    <row r="1268" spans="2:3">
      <c r="B1268" s="17"/>
      <c r="C1268" s="17"/>
    </row>
    <row r="1269" spans="2:3">
      <c r="B1269" s="17"/>
      <c r="C1269" s="17"/>
    </row>
    <row r="1270" spans="2:3">
      <c r="B1270" s="17"/>
      <c r="C1270" s="17"/>
    </row>
    <row r="1271" spans="2:3">
      <c r="B1271" s="17"/>
      <c r="C1271" s="17"/>
    </row>
    <row r="1272" spans="2:3">
      <c r="B1272" s="17"/>
      <c r="C1272" s="17"/>
    </row>
    <row r="1273" spans="2:3">
      <c r="B1273" s="17"/>
      <c r="C1273" s="17"/>
    </row>
    <row r="1274" spans="2:3">
      <c r="B1274" s="17"/>
      <c r="C1274" s="17"/>
    </row>
    <row r="1275" spans="2:3">
      <c r="B1275" s="17"/>
      <c r="C1275" s="17"/>
    </row>
    <row r="1276" spans="2:3">
      <c r="B1276" s="17"/>
      <c r="C1276" s="17"/>
    </row>
    <row r="1277" spans="2:3">
      <c r="B1277" s="17"/>
      <c r="C1277" s="17"/>
    </row>
    <row r="1278" spans="2:3">
      <c r="B1278" s="17"/>
      <c r="C1278" s="17"/>
    </row>
    <row r="1279" spans="2:3">
      <c r="B1279" s="17"/>
      <c r="C1279" s="17"/>
    </row>
    <row r="1280" spans="2:3">
      <c r="B1280" s="17"/>
      <c r="C1280" s="17"/>
    </row>
    <row r="1281" spans="2:3">
      <c r="B1281" s="17"/>
      <c r="C1281" s="17"/>
    </row>
    <row r="1282" spans="2:3">
      <c r="B1282" s="17"/>
      <c r="C1282" s="17"/>
    </row>
    <row r="1283" spans="2:3">
      <c r="B1283" s="17"/>
      <c r="C1283" s="17"/>
    </row>
    <row r="1284" spans="2:3">
      <c r="B1284" s="17"/>
      <c r="C1284" s="17"/>
    </row>
    <row r="1285" spans="2:3">
      <c r="B1285" s="17"/>
      <c r="C1285" s="17"/>
    </row>
    <row r="1286" spans="2:3">
      <c r="B1286" s="17"/>
      <c r="C1286" s="17"/>
    </row>
    <row r="1287" spans="2:3">
      <c r="B1287" s="17"/>
      <c r="C1287" s="17"/>
    </row>
    <row r="1288" spans="2:3">
      <c r="B1288" s="17"/>
      <c r="C1288" s="17"/>
    </row>
    <row r="1289" spans="2:3">
      <c r="B1289" s="17"/>
      <c r="C1289" s="17"/>
    </row>
    <row r="1290" spans="2:3">
      <c r="B1290" s="17"/>
      <c r="C1290" s="17"/>
    </row>
    <row r="1291" spans="2:3">
      <c r="B1291" s="17"/>
      <c r="C1291" s="17"/>
    </row>
    <row r="1292" spans="2:3">
      <c r="B1292" s="17"/>
      <c r="C1292" s="17"/>
    </row>
    <row r="1293" spans="2:3">
      <c r="B1293" s="17"/>
      <c r="C1293" s="17"/>
    </row>
    <row r="1294" spans="2:3">
      <c r="B1294" s="17"/>
      <c r="C1294" s="17"/>
    </row>
    <row r="1295" spans="2:3">
      <c r="B1295" s="17"/>
      <c r="C1295" s="17"/>
    </row>
    <row r="1296" spans="2:3">
      <c r="B1296" s="17"/>
      <c r="C1296" s="17"/>
    </row>
    <row r="1297" spans="2:3">
      <c r="B1297" s="17"/>
      <c r="C1297" s="17"/>
    </row>
    <row r="1298" spans="2:3">
      <c r="B1298" s="17"/>
      <c r="C1298" s="17"/>
    </row>
    <row r="1299" spans="2:3">
      <c r="B1299" s="17"/>
      <c r="C1299" s="17"/>
    </row>
    <row r="1300" spans="2:3">
      <c r="B1300" s="17"/>
      <c r="C1300" s="17"/>
    </row>
    <row r="1301" spans="2:3">
      <c r="B1301" s="17"/>
      <c r="C1301" s="17"/>
    </row>
    <row r="1302" spans="2:3">
      <c r="B1302" s="17"/>
      <c r="C1302" s="17"/>
    </row>
    <row r="1303" spans="2:3">
      <c r="B1303" s="17"/>
      <c r="C1303" s="17"/>
    </row>
    <row r="1304" spans="2:3">
      <c r="B1304" s="17"/>
      <c r="C1304" s="17"/>
    </row>
    <row r="1305" spans="2:3">
      <c r="B1305" s="17"/>
      <c r="C1305" s="17"/>
    </row>
    <row r="1306" spans="2:3">
      <c r="B1306" s="17"/>
      <c r="C1306" s="17"/>
    </row>
    <row r="1307" spans="2:3">
      <c r="B1307" s="17"/>
      <c r="C1307" s="17"/>
    </row>
    <row r="1308" spans="2:3">
      <c r="B1308" s="17"/>
      <c r="C1308" s="17"/>
    </row>
    <row r="1309" spans="2:3">
      <c r="B1309" s="17"/>
      <c r="C1309" s="17"/>
    </row>
    <row r="1310" spans="2:3">
      <c r="B1310" s="17"/>
      <c r="C1310" s="17"/>
    </row>
    <row r="1311" spans="2:3">
      <c r="B1311" s="17"/>
      <c r="C1311" s="17"/>
    </row>
    <row r="1312" spans="2:3">
      <c r="B1312" s="17"/>
      <c r="C1312" s="17"/>
    </row>
    <row r="1313" spans="2:3">
      <c r="B1313" s="17"/>
      <c r="C1313" s="17"/>
    </row>
    <row r="1314" spans="2:3">
      <c r="B1314" s="17"/>
      <c r="C1314" s="17"/>
    </row>
    <row r="1315" spans="2:3">
      <c r="B1315" s="17"/>
      <c r="C1315" s="17"/>
    </row>
    <row r="1316" spans="2:3">
      <c r="B1316" s="17"/>
      <c r="C1316" s="17"/>
    </row>
    <row r="1317" spans="2:3">
      <c r="B1317" s="17"/>
      <c r="C1317" s="17"/>
    </row>
    <row r="1318" spans="2:3">
      <c r="B1318" s="17"/>
      <c r="C1318" s="17"/>
    </row>
    <row r="1319" spans="2:3">
      <c r="B1319" s="17"/>
      <c r="C1319" s="17"/>
    </row>
    <row r="1320" spans="2:3">
      <c r="B1320" s="17"/>
      <c r="C1320" s="17"/>
    </row>
    <row r="1321" spans="2:3">
      <c r="B1321" s="17"/>
      <c r="C1321" s="17"/>
    </row>
    <row r="1322" spans="2:3">
      <c r="B1322" s="17"/>
      <c r="C1322" s="17"/>
    </row>
    <row r="1323" spans="2:3">
      <c r="B1323" s="17"/>
      <c r="C1323" s="17"/>
    </row>
    <row r="1324" spans="2:3">
      <c r="B1324" s="17"/>
      <c r="C1324" s="17"/>
    </row>
    <row r="1325" spans="2:3">
      <c r="B1325" s="17"/>
      <c r="C1325" s="17"/>
    </row>
    <row r="1326" spans="2:3">
      <c r="B1326" s="17"/>
      <c r="C1326" s="17"/>
    </row>
    <row r="1327" spans="2:3">
      <c r="B1327" s="17"/>
      <c r="C1327" s="17"/>
    </row>
    <row r="1328" spans="2:3">
      <c r="B1328" s="17"/>
      <c r="C1328" s="17"/>
    </row>
    <row r="1329" spans="2:3">
      <c r="B1329" s="17"/>
      <c r="C1329" s="17"/>
    </row>
    <row r="1330" spans="2:3">
      <c r="B1330" s="17"/>
      <c r="C1330" s="17"/>
    </row>
    <row r="1331" spans="2:3">
      <c r="B1331" s="17"/>
      <c r="C1331" s="17"/>
    </row>
    <row r="1332" spans="2:3">
      <c r="B1332" s="17"/>
      <c r="C1332" s="17"/>
    </row>
    <row r="1333" spans="2:3">
      <c r="B1333" s="17"/>
      <c r="C1333" s="17"/>
    </row>
    <row r="1334" spans="2:3">
      <c r="B1334" s="17"/>
      <c r="C1334" s="17"/>
    </row>
    <row r="1335" spans="2:3">
      <c r="B1335" s="17"/>
      <c r="C1335" s="17"/>
    </row>
    <row r="1336" spans="2:3">
      <c r="B1336" s="17"/>
      <c r="C1336" s="17"/>
    </row>
    <row r="1337" spans="2:3">
      <c r="B1337" s="17"/>
      <c r="C1337" s="17"/>
    </row>
    <row r="1338" spans="2:3">
      <c r="B1338" s="17"/>
      <c r="C1338" s="17"/>
    </row>
    <row r="1339" spans="2:3">
      <c r="B1339" s="17"/>
      <c r="C1339" s="17"/>
    </row>
    <row r="1340" spans="2:3">
      <c r="B1340" s="17"/>
      <c r="C1340" s="17"/>
    </row>
    <row r="1341" spans="2:3">
      <c r="B1341" s="17"/>
      <c r="C1341" s="17"/>
    </row>
    <row r="1342" spans="2:3">
      <c r="B1342" s="17"/>
      <c r="C1342" s="17"/>
    </row>
    <row r="1343" spans="2:3">
      <c r="B1343" s="17"/>
      <c r="C1343" s="17"/>
    </row>
    <row r="1344" spans="2:3">
      <c r="B1344" s="17"/>
      <c r="C1344" s="17"/>
    </row>
    <row r="1345" spans="2:3">
      <c r="B1345" s="17"/>
      <c r="C1345" s="17"/>
    </row>
    <row r="1346" spans="2:3">
      <c r="B1346" s="17"/>
      <c r="C1346" s="17"/>
    </row>
    <row r="1347" spans="2:3">
      <c r="B1347" s="17"/>
      <c r="C1347" s="17"/>
    </row>
    <row r="1348" spans="2:3">
      <c r="B1348" s="17"/>
      <c r="C1348" s="17"/>
    </row>
    <row r="1349" spans="2:3">
      <c r="B1349" s="17"/>
      <c r="C1349" s="17"/>
    </row>
    <row r="1350" spans="2:3">
      <c r="B1350" s="17"/>
      <c r="C1350" s="17"/>
    </row>
    <row r="1351" spans="2:3">
      <c r="B1351" s="17"/>
      <c r="C1351" s="17"/>
    </row>
    <row r="1352" spans="2:3">
      <c r="B1352" s="17"/>
      <c r="C1352" s="17"/>
    </row>
    <row r="1353" spans="2:3">
      <c r="B1353" s="17"/>
      <c r="C1353" s="17"/>
    </row>
    <row r="1354" spans="2:3">
      <c r="B1354" s="17"/>
      <c r="C1354" s="17"/>
    </row>
    <row r="1355" spans="2:3">
      <c r="B1355" s="17"/>
      <c r="C1355" s="17"/>
    </row>
    <row r="1356" spans="2:3">
      <c r="B1356" s="17"/>
      <c r="C1356" s="17"/>
    </row>
    <row r="1357" spans="2:3">
      <c r="B1357" s="17"/>
      <c r="C1357" s="17"/>
    </row>
    <row r="1358" spans="2:3">
      <c r="B1358" s="17"/>
      <c r="C1358" s="17"/>
    </row>
    <row r="1359" spans="2:3">
      <c r="B1359" s="17"/>
      <c r="C1359" s="17"/>
    </row>
    <row r="1360" spans="2:3">
      <c r="B1360" s="17"/>
      <c r="C1360" s="17"/>
    </row>
    <row r="1361" spans="2:3">
      <c r="B1361" s="17"/>
      <c r="C1361" s="17"/>
    </row>
    <row r="1362" spans="2:3">
      <c r="B1362" s="17"/>
      <c r="C1362" s="17"/>
    </row>
    <row r="1363" spans="2:3">
      <c r="B1363" s="17"/>
      <c r="C1363" s="17"/>
    </row>
    <row r="1364" spans="2:3">
      <c r="B1364" s="17"/>
      <c r="C1364" s="17"/>
    </row>
    <row r="1365" spans="2:3">
      <c r="B1365" s="17"/>
      <c r="C1365" s="17"/>
    </row>
    <row r="1366" spans="2:3">
      <c r="B1366" s="17"/>
      <c r="C1366" s="17"/>
    </row>
    <row r="1367" spans="2:3">
      <c r="B1367" s="17"/>
      <c r="C1367" s="17"/>
    </row>
    <row r="1368" spans="2:3">
      <c r="B1368" s="17"/>
      <c r="C1368" s="17"/>
    </row>
    <row r="1369" spans="2:3">
      <c r="B1369" s="17"/>
      <c r="C1369" s="17"/>
    </row>
    <row r="1370" spans="2:3">
      <c r="B1370" s="17"/>
      <c r="C1370" s="17"/>
    </row>
    <row r="1371" spans="2:3">
      <c r="B1371" s="17"/>
      <c r="C1371" s="17"/>
    </row>
    <row r="1372" spans="2:3">
      <c r="B1372" s="17"/>
      <c r="C1372" s="17"/>
    </row>
    <row r="1373" spans="2:3">
      <c r="B1373" s="17"/>
      <c r="C1373" s="17"/>
    </row>
    <row r="1374" spans="2:3">
      <c r="B1374" s="17"/>
      <c r="C1374" s="17"/>
    </row>
    <row r="1375" spans="2:3">
      <c r="B1375" s="17"/>
      <c r="C1375" s="17"/>
    </row>
    <row r="1376" spans="2:3">
      <c r="B1376" s="17"/>
      <c r="C1376" s="17"/>
    </row>
    <row r="1377" spans="2:3">
      <c r="B1377" s="17"/>
      <c r="C1377" s="17"/>
    </row>
    <row r="1378" spans="2:3">
      <c r="B1378" s="17"/>
      <c r="C1378" s="17"/>
    </row>
    <row r="1379" spans="2:3">
      <c r="B1379" s="17"/>
      <c r="C1379" s="17"/>
    </row>
    <row r="1380" spans="2:3">
      <c r="B1380" s="17"/>
      <c r="C1380" s="17"/>
    </row>
    <row r="1381" spans="2:3">
      <c r="B1381" s="17"/>
      <c r="C1381" s="17"/>
    </row>
    <row r="1382" spans="2:3">
      <c r="B1382" s="17"/>
      <c r="C1382" s="17"/>
    </row>
    <row r="1383" spans="2:3">
      <c r="B1383" s="17"/>
      <c r="C1383" s="17"/>
    </row>
    <row r="1384" spans="2:3">
      <c r="B1384" s="17"/>
      <c r="C1384" s="17"/>
    </row>
    <row r="1385" spans="2:3">
      <c r="B1385" s="17"/>
      <c r="C1385" s="17"/>
    </row>
    <row r="1386" spans="2:3">
      <c r="B1386" s="17"/>
      <c r="C1386" s="17"/>
    </row>
    <row r="1387" spans="2:3">
      <c r="B1387" s="17"/>
      <c r="C1387" s="17"/>
    </row>
    <row r="1388" spans="2:3">
      <c r="B1388" s="17"/>
      <c r="C1388" s="17"/>
    </row>
    <row r="1389" spans="2:3">
      <c r="B1389" s="17"/>
      <c r="C1389" s="17"/>
    </row>
    <row r="1390" spans="2:3">
      <c r="B1390" s="17"/>
      <c r="C1390" s="17"/>
    </row>
    <row r="1391" spans="2:3">
      <c r="B1391" s="17"/>
      <c r="C1391" s="17"/>
    </row>
    <row r="1392" spans="2:3">
      <c r="B1392" s="17"/>
      <c r="C1392" s="17"/>
    </row>
    <row r="1393" spans="2:3">
      <c r="B1393" s="17"/>
      <c r="C1393" s="17"/>
    </row>
    <row r="1394" spans="2:3">
      <c r="B1394" s="17"/>
      <c r="C1394" s="17"/>
    </row>
    <row r="1395" spans="2:3">
      <c r="B1395" s="17"/>
      <c r="C1395" s="17"/>
    </row>
    <row r="1396" spans="2:3">
      <c r="B1396" s="17"/>
      <c r="C1396" s="17"/>
    </row>
    <row r="1397" spans="2:3">
      <c r="B1397" s="17"/>
      <c r="C1397" s="17"/>
    </row>
    <row r="1398" spans="2:3">
      <c r="B1398" s="17"/>
      <c r="C1398" s="17"/>
    </row>
    <row r="1399" spans="2:3">
      <c r="B1399" s="17"/>
      <c r="C1399" s="17"/>
    </row>
    <row r="1400" spans="2:3">
      <c r="B1400" s="17"/>
      <c r="C1400" s="17"/>
    </row>
    <row r="1401" spans="2:3">
      <c r="B1401" s="17"/>
      <c r="C1401" s="17"/>
    </row>
    <row r="1402" spans="2:3">
      <c r="B1402" s="17"/>
      <c r="C1402" s="17"/>
    </row>
    <row r="1403" spans="2:3">
      <c r="B1403" s="17"/>
      <c r="C1403" s="17"/>
    </row>
    <row r="1404" spans="2:3">
      <c r="B1404" s="17"/>
      <c r="C1404" s="17"/>
    </row>
    <row r="1405" spans="2:3">
      <c r="B1405" s="17"/>
      <c r="C1405" s="17"/>
    </row>
    <row r="1406" spans="2:3">
      <c r="B1406" s="17"/>
      <c r="C1406" s="17"/>
    </row>
    <row r="1407" spans="2:3">
      <c r="B1407" s="17"/>
      <c r="C1407" s="17"/>
    </row>
    <row r="1408" spans="2:3">
      <c r="B1408" s="17"/>
      <c r="C1408" s="17"/>
    </row>
    <row r="1409" spans="2:3">
      <c r="B1409" s="17"/>
      <c r="C1409" s="17"/>
    </row>
    <row r="1410" spans="2:3">
      <c r="B1410" s="17"/>
      <c r="C1410" s="17"/>
    </row>
    <row r="1411" spans="2:3">
      <c r="B1411" s="17"/>
      <c r="C1411" s="17"/>
    </row>
    <row r="1412" spans="2:3">
      <c r="B1412" s="17"/>
      <c r="C1412" s="17"/>
    </row>
    <row r="1413" spans="2:3">
      <c r="B1413" s="17"/>
      <c r="C1413" s="17"/>
    </row>
    <row r="1414" spans="2:3">
      <c r="B1414" s="17"/>
      <c r="C1414" s="17"/>
    </row>
    <row r="1415" spans="2:3">
      <c r="B1415" s="17"/>
      <c r="C1415" s="17"/>
    </row>
    <row r="1416" spans="2:3">
      <c r="B1416" s="17"/>
      <c r="C1416" s="17"/>
    </row>
    <row r="1417" spans="2:3">
      <c r="B1417" s="17"/>
      <c r="C1417" s="17"/>
    </row>
    <row r="1418" spans="2:3">
      <c r="B1418" s="17"/>
      <c r="C1418" s="17"/>
    </row>
    <row r="1419" spans="2:3">
      <c r="B1419" s="17"/>
      <c r="C1419" s="17"/>
    </row>
    <row r="1420" spans="2:3">
      <c r="B1420" s="17"/>
      <c r="C1420" s="17"/>
    </row>
    <row r="1421" spans="2:3">
      <c r="B1421" s="17"/>
      <c r="C1421" s="17"/>
    </row>
    <row r="1422" spans="2:3">
      <c r="B1422" s="17"/>
      <c r="C1422" s="17"/>
    </row>
    <row r="1423" spans="2:3">
      <c r="B1423" s="17"/>
      <c r="C1423" s="17"/>
    </row>
    <row r="1424" spans="2:3">
      <c r="B1424" s="17"/>
      <c r="C1424" s="17"/>
    </row>
    <row r="1425" spans="2:3">
      <c r="B1425" s="17"/>
      <c r="C1425" s="17"/>
    </row>
    <row r="1426" spans="2:3">
      <c r="B1426" s="17"/>
      <c r="C1426" s="17"/>
    </row>
    <row r="1427" spans="2:3">
      <c r="B1427" s="17"/>
      <c r="C1427" s="17"/>
    </row>
    <row r="1428" spans="2:3">
      <c r="B1428" s="17"/>
      <c r="C1428" s="17"/>
    </row>
    <row r="1429" spans="2:3">
      <c r="B1429" s="17"/>
      <c r="C1429" s="17"/>
    </row>
    <row r="1430" spans="2:3">
      <c r="B1430" s="17"/>
      <c r="C1430" s="17"/>
    </row>
    <row r="1431" spans="2:3">
      <c r="B1431" s="17"/>
      <c r="C1431" s="17"/>
    </row>
    <row r="1432" spans="2:3">
      <c r="B1432" s="17"/>
      <c r="C1432" s="17"/>
    </row>
    <row r="1433" spans="2:3">
      <c r="B1433" s="17"/>
      <c r="C1433" s="17"/>
    </row>
    <row r="1434" spans="2:3">
      <c r="B1434" s="17"/>
      <c r="C1434" s="17"/>
    </row>
    <row r="1435" spans="2:3">
      <c r="B1435" s="17"/>
      <c r="C1435" s="17"/>
    </row>
    <row r="1436" spans="2:3">
      <c r="B1436" s="17"/>
      <c r="C1436" s="17"/>
    </row>
    <row r="1437" spans="2:3">
      <c r="B1437" s="17"/>
      <c r="C1437" s="17"/>
    </row>
    <row r="1438" spans="2:3">
      <c r="B1438" s="17"/>
      <c r="C1438" s="17"/>
    </row>
    <row r="1439" spans="2:3">
      <c r="B1439" s="17"/>
      <c r="C1439" s="17"/>
    </row>
    <row r="1440" spans="2:3">
      <c r="B1440" s="17"/>
      <c r="C1440" s="17"/>
    </row>
    <row r="1441" spans="2:3">
      <c r="B1441" s="17"/>
      <c r="C1441" s="17"/>
    </row>
    <row r="1442" spans="2:3">
      <c r="B1442" s="17"/>
      <c r="C1442" s="17"/>
    </row>
    <row r="1443" spans="2:3">
      <c r="B1443" s="17"/>
      <c r="C1443" s="17"/>
    </row>
    <row r="1444" spans="2:3">
      <c r="B1444" s="17"/>
      <c r="C1444" s="17"/>
    </row>
    <row r="1445" spans="2:3">
      <c r="B1445" s="17"/>
      <c r="C1445" s="17"/>
    </row>
    <row r="1446" spans="2:3">
      <c r="B1446" s="17"/>
      <c r="C1446" s="17"/>
    </row>
    <row r="1447" spans="2:3">
      <c r="B1447" s="17"/>
      <c r="C1447" s="17"/>
    </row>
    <row r="1448" spans="2:3">
      <c r="B1448" s="17"/>
      <c r="C1448" s="17"/>
    </row>
    <row r="1449" spans="2:3">
      <c r="B1449" s="17"/>
      <c r="C1449" s="17"/>
    </row>
    <row r="1450" spans="2:3">
      <c r="B1450" s="17"/>
      <c r="C1450" s="17"/>
    </row>
    <row r="1451" spans="2:3">
      <c r="B1451" s="17"/>
      <c r="C1451" s="17"/>
    </row>
    <row r="1452" spans="2:3">
      <c r="B1452" s="17"/>
      <c r="C1452" s="17"/>
    </row>
    <row r="1453" spans="2:3">
      <c r="B1453" s="17"/>
      <c r="C1453" s="17"/>
    </row>
    <row r="1454" spans="2:3">
      <c r="B1454" s="17"/>
      <c r="C1454" s="17"/>
    </row>
    <row r="1455" spans="2:3">
      <c r="B1455" s="17"/>
      <c r="C1455" s="17"/>
    </row>
    <row r="1456" spans="2:3">
      <c r="B1456" s="17"/>
      <c r="C1456" s="17"/>
    </row>
    <row r="1457" spans="2:3">
      <c r="B1457" s="17"/>
      <c r="C1457" s="17"/>
    </row>
    <row r="1458" spans="2:3">
      <c r="B1458" s="17"/>
      <c r="C1458" s="17"/>
    </row>
    <row r="1459" spans="2:3">
      <c r="B1459" s="17"/>
      <c r="C1459" s="17"/>
    </row>
    <row r="1460" spans="2:3">
      <c r="B1460" s="17"/>
      <c r="C1460" s="17"/>
    </row>
    <row r="1461" spans="2:3">
      <c r="B1461" s="17"/>
      <c r="C1461" s="17"/>
    </row>
    <row r="1462" spans="2:3">
      <c r="B1462" s="17"/>
      <c r="C1462" s="17"/>
    </row>
    <row r="1463" spans="2:3">
      <c r="B1463" s="17"/>
      <c r="C1463" s="17"/>
    </row>
    <row r="1464" spans="2:3">
      <c r="B1464" s="17"/>
      <c r="C1464" s="17"/>
    </row>
    <row r="1465" spans="2:3">
      <c r="B1465" s="17"/>
      <c r="C1465" s="17"/>
    </row>
    <row r="1466" spans="2:3">
      <c r="B1466" s="17"/>
      <c r="C1466" s="17"/>
    </row>
    <row r="1467" spans="2:3">
      <c r="B1467" s="17"/>
      <c r="C1467" s="17"/>
    </row>
    <row r="1468" spans="2:3">
      <c r="B1468" s="17"/>
      <c r="C1468" s="17"/>
    </row>
    <row r="1469" spans="2:3">
      <c r="B1469" s="17"/>
      <c r="C1469" s="17"/>
    </row>
    <row r="1470" spans="2:3">
      <c r="B1470" s="17"/>
      <c r="C1470" s="17"/>
    </row>
    <row r="1471" spans="2:3">
      <c r="B1471" s="17"/>
      <c r="C1471" s="17"/>
    </row>
    <row r="1472" spans="2:3">
      <c r="B1472" s="17"/>
      <c r="C1472" s="17"/>
    </row>
    <row r="1473" spans="2:3">
      <c r="B1473" s="17"/>
      <c r="C1473" s="17"/>
    </row>
    <row r="1474" spans="2:3">
      <c r="B1474" s="17"/>
      <c r="C1474" s="17"/>
    </row>
    <row r="1475" spans="2:3">
      <c r="B1475" s="17"/>
      <c r="C1475" s="17"/>
    </row>
    <row r="1476" spans="2:3">
      <c r="B1476" s="17"/>
      <c r="C1476" s="17"/>
    </row>
    <row r="1477" spans="2:3">
      <c r="B1477" s="17"/>
      <c r="C1477" s="17"/>
    </row>
    <row r="1478" spans="2:3">
      <c r="B1478" s="17"/>
      <c r="C1478" s="17"/>
    </row>
    <row r="1479" spans="2:3">
      <c r="B1479" s="17"/>
      <c r="C1479" s="17"/>
    </row>
    <row r="1480" spans="2:3">
      <c r="B1480" s="17"/>
      <c r="C1480" s="17"/>
    </row>
    <row r="1481" spans="2:3">
      <c r="B1481" s="17"/>
      <c r="C1481" s="17"/>
    </row>
    <row r="1482" spans="2:3">
      <c r="B1482" s="17"/>
      <c r="C1482" s="17"/>
    </row>
    <row r="1483" spans="2:3">
      <c r="B1483" s="17"/>
      <c r="C1483" s="17"/>
    </row>
    <row r="1484" spans="2:3">
      <c r="B1484" s="17"/>
      <c r="C1484" s="17"/>
    </row>
    <row r="1485" spans="2:3">
      <c r="B1485" s="17"/>
      <c r="C1485" s="17"/>
    </row>
    <row r="1486" spans="2:3">
      <c r="B1486" s="17"/>
      <c r="C1486" s="17"/>
    </row>
    <row r="1487" spans="2:3">
      <c r="B1487" s="17"/>
      <c r="C1487" s="17"/>
    </row>
    <row r="1488" spans="2:3">
      <c r="B1488" s="17"/>
      <c r="C1488" s="17"/>
    </row>
    <row r="1489" spans="2:3">
      <c r="B1489" s="17"/>
      <c r="C1489" s="17"/>
    </row>
    <row r="1490" spans="2:3">
      <c r="B1490" s="17"/>
      <c r="C1490" s="17"/>
    </row>
    <row r="1491" spans="2:3">
      <c r="B1491" s="17"/>
      <c r="C1491" s="17"/>
    </row>
    <row r="1492" spans="2:3">
      <c r="B1492" s="17"/>
      <c r="C1492" s="17"/>
    </row>
    <row r="1493" spans="2:3">
      <c r="B1493" s="17"/>
      <c r="C1493" s="17"/>
    </row>
    <row r="1494" spans="2:3">
      <c r="B1494" s="17"/>
      <c r="C1494" s="17"/>
    </row>
    <row r="1495" spans="2:3">
      <c r="B1495" s="17"/>
      <c r="C1495" s="17"/>
    </row>
    <row r="1496" spans="2:3">
      <c r="B1496" s="17"/>
      <c r="C1496" s="17"/>
    </row>
    <row r="1497" spans="2:3">
      <c r="B1497" s="17"/>
      <c r="C1497" s="17"/>
    </row>
    <row r="1498" spans="2:3">
      <c r="B1498" s="17"/>
      <c r="C1498" s="17"/>
    </row>
    <row r="1499" spans="2:3">
      <c r="B1499" s="17"/>
      <c r="C1499" s="17"/>
    </row>
    <row r="1500" spans="2:3">
      <c r="B1500" s="17"/>
      <c r="C1500" s="17"/>
    </row>
    <row r="1501" spans="2:3">
      <c r="B1501" s="17"/>
      <c r="C1501" s="17"/>
    </row>
    <row r="1502" spans="2:3">
      <c r="B1502" s="17"/>
      <c r="C1502" s="17"/>
    </row>
    <row r="1503" spans="2:3">
      <c r="B1503" s="17"/>
      <c r="C1503" s="17"/>
    </row>
    <row r="1504" spans="2:3">
      <c r="B1504" s="17"/>
      <c r="C1504" s="17"/>
    </row>
    <row r="1505" spans="2:3">
      <c r="B1505" s="17"/>
      <c r="C1505" s="17"/>
    </row>
    <row r="1506" spans="2:3">
      <c r="B1506" s="17"/>
      <c r="C1506" s="17"/>
    </row>
    <row r="1507" spans="2:3">
      <c r="B1507" s="17"/>
      <c r="C1507" s="17"/>
    </row>
    <row r="1508" spans="2:3">
      <c r="B1508" s="17"/>
      <c r="C1508" s="17"/>
    </row>
    <row r="1509" spans="2:3">
      <c r="B1509" s="17"/>
      <c r="C1509" s="17"/>
    </row>
    <row r="1510" spans="2:3">
      <c r="B1510" s="17"/>
      <c r="C1510" s="17"/>
    </row>
    <row r="1511" spans="2:3">
      <c r="B1511" s="17"/>
      <c r="C1511" s="17"/>
    </row>
    <row r="1512" spans="2:3">
      <c r="B1512" s="17"/>
      <c r="C1512" s="17"/>
    </row>
    <row r="1513" spans="2:3">
      <c r="B1513" s="17"/>
      <c r="C1513" s="17"/>
    </row>
    <row r="1514" spans="2:3">
      <c r="B1514" s="17"/>
      <c r="C1514" s="17"/>
    </row>
    <row r="1515" spans="2:3">
      <c r="B1515" s="17"/>
      <c r="C1515" s="17"/>
    </row>
    <row r="1516" spans="2:3">
      <c r="B1516" s="17"/>
      <c r="C1516" s="17"/>
    </row>
    <row r="1517" spans="2:3">
      <c r="B1517" s="17"/>
      <c r="C1517" s="17"/>
    </row>
    <row r="1518" spans="2:3">
      <c r="B1518" s="17"/>
      <c r="C1518" s="17"/>
    </row>
    <row r="1519" spans="2:3">
      <c r="B1519" s="17"/>
      <c r="C1519" s="17"/>
    </row>
    <row r="1520" spans="2:3">
      <c r="B1520" s="17"/>
      <c r="C1520" s="17"/>
    </row>
    <row r="1521" spans="2:3">
      <c r="B1521" s="17"/>
      <c r="C1521" s="17"/>
    </row>
    <row r="1522" spans="2:3">
      <c r="B1522" s="17"/>
      <c r="C1522" s="17"/>
    </row>
    <row r="1523" spans="2:3">
      <c r="B1523" s="17"/>
      <c r="C1523" s="17"/>
    </row>
    <row r="1524" spans="2:3">
      <c r="B1524" s="17"/>
      <c r="C1524" s="17"/>
    </row>
    <row r="1525" spans="2:3">
      <c r="B1525" s="17"/>
      <c r="C1525" s="17"/>
    </row>
    <row r="1526" spans="2:3">
      <c r="B1526" s="17"/>
      <c r="C1526" s="17"/>
    </row>
    <row r="1527" spans="2:3">
      <c r="B1527" s="17"/>
      <c r="C1527" s="17"/>
    </row>
    <row r="1528" spans="2:3">
      <c r="B1528" s="17"/>
      <c r="C1528" s="17"/>
    </row>
    <row r="1529" spans="2:3">
      <c r="B1529" s="17"/>
      <c r="C1529" s="17"/>
    </row>
    <row r="1530" spans="2:3">
      <c r="B1530" s="17"/>
      <c r="C1530" s="17"/>
    </row>
    <row r="1531" spans="2:3">
      <c r="B1531" s="17"/>
      <c r="C1531" s="17"/>
    </row>
    <row r="1532" spans="2:3">
      <c r="B1532" s="17"/>
      <c r="C1532" s="17"/>
    </row>
    <row r="1533" spans="2:3">
      <c r="B1533" s="17"/>
      <c r="C1533" s="17"/>
    </row>
    <row r="1534" spans="2:3">
      <c r="B1534" s="17"/>
      <c r="C1534" s="17"/>
    </row>
    <row r="1535" spans="2:3">
      <c r="B1535" s="17"/>
      <c r="C1535" s="17"/>
    </row>
    <row r="1536" spans="2:3">
      <c r="B1536" s="17"/>
      <c r="C1536" s="17"/>
    </row>
    <row r="1537" spans="2:3">
      <c r="B1537" s="17"/>
      <c r="C1537" s="17"/>
    </row>
    <row r="1538" spans="2:3">
      <c r="B1538" s="17"/>
      <c r="C1538" s="17"/>
    </row>
    <row r="1539" spans="2:3">
      <c r="B1539" s="17"/>
      <c r="C1539" s="17"/>
    </row>
    <row r="1540" spans="2:3">
      <c r="B1540" s="17"/>
      <c r="C1540" s="17"/>
    </row>
    <row r="1541" spans="2:3">
      <c r="B1541" s="17"/>
      <c r="C1541" s="17"/>
    </row>
    <row r="1542" spans="2:3">
      <c r="B1542" s="17"/>
      <c r="C1542" s="17"/>
    </row>
    <row r="1543" spans="2:3">
      <c r="B1543" s="17"/>
      <c r="C1543" s="17"/>
    </row>
    <row r="1544" spans="2:3">
      <c r="B1544" s="17"/>
      <c r="C1544" s="17"/>
    </row>
    <row r="1545" spans="2:3">
      <c r="B1545" s="17"/>
      <c r="C1545" s="17"/>
    </row>
    <row r="1546" spans="2:3">
      <c r="B1546" s="17"/>
      <c r="C1546" s="17"/>
    </row>
    <row r="1547" spans="2:3">
      <c r="B1547" s="17"/>
      <c r="C1547" s="17"/>
    </row>
    <row r="1548" spans="2:3">
      <c r="B1548" s="17"/>
      <c r="C1548" s="17"/>
    </row>
    <row r="1549" spans="2:3">
      <c r="B1549" s="17"/>
      <c r="C1549" s="17"/>
    </row>
    <row r="1550" spans="2:3">
      <c r="B1550" s="17"/>
      <c r="C1550" s="17"/>
    </row>
    <row r="1551" spans="2:3">
      <c r="B1551" s="17"/>
      <c r="C1551" s="17"/>
    </row>
    <row r="1552" spans="2:3">
      <c r="B1552" s="17"/>
      <c r="C1552" s="17"/>
    </row>
    <row r="1553" spans="2:3">
      <c r="B1553" s="17"/>
      <c r="C1553" s="17"/>
    </row>
    <row r="1554" spans="2:3">
      <c r="B1554" s="17"/>
      <c r="C1554" s="17"/>
    </row>
    <row r="1555" spans="2:3">
      <c r="B1555" s="17"/>
      <c r="C1555" s="17"/>
    </row>
    <row r="1556" spans="2:3">
      <c r="B1556" s="17"/>
      <c r="C1556" s="17"/>
    </row>
    <row r="1557" spans="2:3">
      <c r="B1557" s="17"/>
      <c r="C1557" s="17"/>
    </row>
    <row r="1558" spans="2:3">
      <c r="B1558" s="17"/>
      <c r="C1558" s="17"/>
    </row>
    <row r="1559" spans="2:3">
      <c r="B1559" s="17"/>
      <c r="C1559" s="17"/>
    </row>
    <row r="1560" spans="2:3">
      <c r="B1560" s="17"/>
      <c r="C1560" s="17"/>
    </row>
    <row r="1561" spans="2:3">
      <c r="B1561" s="17"/>
      <c r="C1561" s="17"/>
    </row>
    <row r="1562" spans="2:3">
      <c r="B1562" s="17"/>
      <c r="C1562" s="17"/>
    </row>
    <row r="1563" spans="2:3">
      <c r="B1563" s="17"/>
      <c r="C1563" s="17"/>
    </row>
    <row r="1564" spans="2:3">
      <c r="B1564" s="17"/>
      <c r="C1564" s="17"/>
    </row>
    <row r="1565" spans="2:3">
      <c r="B1565" s="17"/>
      <c r="C1565" s="17"/>
    </row>
    <row r="1566" spans="2:3">
      <c r="B1566" s="17"/>
      <c r="C1566" s="17"/>
    </row>
    <row r="1567" spans="2:3">
      <c r="B1567" s="17"/>
      <c r="C1567" s="17"/>
    </row>
    <row r="1568" spans="2:3">
      <c r="B1568" s="17"/>
      <c r="C1568" s="17"/>
    </row>
    <row r="1569" spans="2:3">
      <c r="B1569" s="17"/>
      <c r="C1569" s="17"/>
    </row>
    <row r="1570" spans="2:3">
      <c r="B1570" s="17"/>
      <c r="C1570" s="17"/>
    </row>
    <row r="1571" spans="2:3">
      <c r="B1571" s="17"/>
      <c r="C1571" s="17"/>
    </row>
    <row r="1572" spans="2:3">
      <c r="B1572" s="17"/>
      <c r="C1572" s="17"/>
    </row>
    <row r="1573" spans="2:3">
      <c r="B1573" s="17"/>
      <c r="C1573" s="17"/>
    </row>
    <row r="1574" spans="2:3">
      <c r="B1574" s="17"/>
      <c r="C1574" s="17"/>
    </row>
    <row r="1575" spans="2:3">
      <c r="B1575" s="17"/>
      <c r="C1575" s="17"/>
    </row>
    <row r="1576" spans="2:3">
      <c r="B1576" s="17"/>
      <c r="C1576" s="17"/>
    </row>
    <row r="1577" spans="2:3">
      <c r="B1577" s="17"/>
      <c r="C1577" s="17"/>
    </row>
    <row r="1578" spans="2:3">
      <c r="B1578" s="17"/>
      <c r="C1578" s="17"/>
    </row>
    <row r="1579" spans="2:3">
      <c r="B1579" s="17"/>
      <c r="C1579" s="17"/>
    </row>
    <row r="1580" spans="2:3">
      <c r="B1580" s="17"/>
      <c r="C1580" s="17"/>
    </row>
    <row r="1581" spans="2:3">
      <c r="B1581" s="17"/>
      <c r="C1581" s="17"/>
    </row>
    <row r="1582" spans="2:3">
      <c r="B1582" s="17"/>
      <c r="C1582" s="17"/>
    </row>
    <row r="1583" spans="2:3">
      <c r="B1583" s="17"/>
      <c r="C1583" s="17"/>
    </row>
    <row r="1584" spans="2:3">
      <c r="B1584" s="17"/>
      <c r="C1584" s="17"/>
    </row>
    <row r="1585" spans="2:3">
      <c r="B1585" s="17"/>
      <c r="C1585" s="17"/>
    </row>
    <row r="1586" spans="2:3">
      <c r="B1586" s="17"/>
      <c r="C1586" s="17"/>
    </row>
    <row r="1587" spans="2:3">
      <c r="B1587" s="17"/>
      <c r="C1587" s="17"/>
    </row>
    <row r="1588" spans="2:3">
      <c r="B1588" s="17"/>
      <c r="C1588" s="17"/>
    </row>
    <row r="1589" spans="2:3">
      <c r="B1589" s="17"/>
      <c r="C1589" s="17"/>
    </row>
    <row r="1590" spans="2:3">
      <c r="B1590" s="17"/>
      <c r="C1590" s="17"/>
    </row>
    <row r="1591" spans="2:3">
      <c r="B1591" s="17"/>
      <c r="C1591" s="17"/>
    </row>
    <row r="1592" spans="2:3">
      <c r="B1592" s="17"/>
      <c r="C1592" s="17"/>
    </row>
    <row r="1593" spans="2:3">
      <c r="B1593" s="17"/>
      <c r="C1593" s="17"/>
    </row>
    <row r="1594" spans="2:3">
      <c r="B1594" s="17"/>
      <c r="C1594" s="17"/>
    </row>
    <row r="1595" spans="2:3">
      <c r="B1595" s="17"/>
      <c r="C1595" s="17"/>
    </row>
    <row r="1596" spans="2:3">
      <c r="B1596" s="17"/>
      <c r="C1596" s="17"/>
    </row>
    <row r="1597" spans="2:3">
      <c r="B1597" s="17"/>
      <c r="C1597" s="17"/>
    </row>
    <row r="1598" spans="2:3">
      <c r="B1598" s="17"/>
      <c r="C1598" s="17"/>
    </row>
    <row r="1599" spans="2:3">
      <c r="B1599" s="17"/>
      <c r="C1599" s="17"/>
    </row>
    <row r="1600" spans="2:3">
      <c r="B1600" s="17"/>
      <c r="C1600" s="17"/>
    </row>
    <row r="1601" spans="2:3">
      <c r="B1601" s="17"/>
      <c r="C1601" s="17"/>
    </row>
    <row r="1602" spans="2:3">
      <c r="B1602" s="17"/>
      <c r="C1602" s="17"/>
    </row>
    <row r="1603" spans="2:3">
      <c r="B1603" s="17"/>
      <c r="C1603" s="17"/>
    </row>
    <row r="1604" spans="2:3">
      <c r="B1604" s="17"/>
      <c r="C1604" s="17"/>
    </row>
    <row r="1605" spans="2:3">
      <c r="B1605" s="17"/>
      <c r="C1605" s="17"/>
    </row>
    <row r="1606" spans="2:3">
      <c r="B1606" s="17"/>
      <c r="C1606" s="17"/>
    </row>
    <row r="1607" spans="2:3">
      <c r="B1607" s="17"/>
      <c r="C1607" s="17"/>
    </row>
    <row r="1608" spans="2:3">
      <c r="B1608" s="17"/>
      <c r="C1608" s="17"/>
    </row>
    <row r="1609" spans="2:3">
      <c r="B1609" s="17"/>
      <c r="C1609" s="17"/>
    </row>
    <row r="1610" spans="2:3">
      <c r="B1610" s="17"/>
      <c r="C1610" s="17"/>
    </row>
    <row r="1611" spans="2:3">
      <c r="B1611" s="17"/>
      <c r="C1611" s="17"/>
    </row>
    <row r="1612" spans="2:3">
      <c r="B1612" s="17"/>
      <c r="C1612" s="17"/>
    </row>
    <row r="1613" spans="2:3">
      <c r="B1613" s="17"/>
      <c r="C1613" s="17"/>
    </row>
    <row r="1614" spans="2:3">
      <c r="B1614" s="17"/>
      <c r="C1614" s="17"/>
    </row>
    <row r="1615" spans="2:3">
      <c r="B1615" s="17"/>
      <c r="C1615" s="17"/>
    </row>
    <row r="1616" spans="2:3">
      <c r="B1616" s="17"/>
      <c r="C1616" s="17"/>
    </row>
    <row r="1617" spans="2:3">
      <c r="B1617" s="17"/>
      <c r="C1617" s="17"/>
    </row>
    <row r="1618" spans="2:3">
      <c r="B1618" s="17"/>
      <c r="C1618" s="17"/>
    </row>
    <row r="1619" spans="2:3">
      <c r="B1619" s="17"/>
      <c r="C1619" s="17"/>
    </row>
    <row r="1620" spans="2:3">
      <c r="B1620" s="17"/>
      <c r="C1620" s="17"/>
    </row>
    <row r="1621" spans="2:3">
      <c r="B1621" s="17"/>
      <c r="C1621" s="17"/>
    </row>
    <row r="1622" spans="2:3">
      <c r="B1622" s="17"/>
      <c r="C1622" s="17"/>
    </row>
    <row r="1623" spans="2:3">
      <c r="B1623" s="17"/>
      <c r="C1623" s="17"/>
    </row>
    <row r="1624" spans="2:3">
      <c r="B1624" s="17"/>
      <c r="C1624" s="17"/>
    </row>
    <row r="1625" spans="2:3">
      <c r="B1625" s="17"/>
      <c r="C1625" s="17"/>
    </row>
    <row r="1626" spans="2:3">
      <c r="B1626" s="17"/>
      <c r="C1626" s="17"/>
    </row>
    <row r="1627" spans="2:3">
      <c r="B1627" s="17"/>
      <c r="C1627" s="17"/>
    </row>
    <row r="1628" spans="2:3">
      <c r="B1628" s="17"/>
      <c r="C1628" s="17"/>
    </row>
    <row r="1629" spans="2:3">
      <c r="B1629" s="17"/>
      <c r="C1629" s="17"/>
    </row>
    <row r="1630" spans="2:3">
      <c r="B1630" s="17"/>
      <c r="C1630" s="17"/>
    </row>
    <row r="1631" spans="2:3">
      <c r="B1631" s="17"/>
      <c r="C1631" s="17"/>
    </row>
    <row r="1632" spans="2:3">
      <c r="B1632" s="17"/>
      <c r="C1632" s="17"/>
    </row>
    <row r="1633" spans="2:3">
      <c r="B1633" s="17"/>
      <c r="C1633" s="17"/>
    </row>
    <row r="1634" spans="2:3">
      <c r="B1634" s="17"/>
      <c r="C1634" s="17"/>
    </row>
    <row r="1635" spans="2:3">
      <c r="B1635" s="17"/>
      <c r="C1635" s="17"/>
    </row>
    <row r="1636" spans="2:3">
      <c r="B1636" s="17"/>
      <c r="C1636" s="17"/>
    </row>
    <row r="1637" spans="2:3">
      <c r="B1637" s="17"/>
      <c r="C1637" s="17"/>
    </row>
    <row r="1638" spans="2:3">
      <c r="B1638" s="17"/>
      <c r="C1638" s="17"/>
    </row>
    <row r="1639" spans="2:3">
      <c r="B1639" s="17"/>
      <c r="C1639" s="17"/>
    </row>
    <row r="1640" spans="2:3">
      <c r="B1640" s="17"/>
      <c r="C1640" s="17"/>
    </row>
    <row r="1641" spans="2:3">
      <c r="B1641" s="17"/>
      <c r="C1641" s="17"/>
    </row>
    <row r="1642" spans="2:3">
      <c r="B1642" s="17"/>
      <c r="C1642" s="17"/>
    </row>
    <row r="1643" spans="2:3">
      <c r="B1643" s="17"/>
      <c r="C1643" s="17"/>
    </row>
    <row r="1644" spans="2:3">
      <c r="B1644" s="17"/>
      <c r="C1644" s="17"/>
    </row>
    <row r="1645" spans="2:3">
      <c r="B1645" s="17"/>
      <c r="C1645" s="17"/>
    </row>
    <row r="1646" spans="2:3">
      <c r="B1646" s="17"/>
      <c r="C1646" s="17"/>
    </row>
    <row r="1647" spans="2:3">
      <c r="B1647" s="17"/>
      <c r="C1647" s="17"/>
    </row>
    <row r="1648" spans="2:3">
      <c r="B1648" s="17"/>
      <c r="C1648" s="17"/>
    </row>
    <row r="1649" spans="2:3">
      <c r="B1649" s="17"/>
      <c r="C1649" s="17"/>
    </row>
    <row r="1650" spans="2:3">
      <c r="B1650" s="17"/>
      <c r="C1650" s="17"/>
    </row>
    <row r="1651" spans="2:3">
      <c r="B1651" s="17"/>
      <c r="C1651" s="17"/>
    </row>
    <row r="1652" spans="2:3">
      <c r="B1652" s="17"/>
      <c r="C1652" s="17"/>
    </row>
    <row r="1653" spans="2:3">
      <c r="B1653" s="17"/>
      <c r="C1653" s="17"/>
    </row>
    <row r="1654" spans="2:3">
      <c r="B1654" s="17"/>
      <c r="C1654" s="17"/>
    </row>
    <row r="1655" spans="2:3">
      <c r="B1655" s="17"/>
      <c r="C1655" s="17"/>
    </row>
    <row r="1656" spans="2:3">
      <c r="B1656" s="17"/>
      <c r="C1656" s="17"/>
    </row>
    <row r="1657" spans="2:3">
      <c r="B1657" s="17"/>
      <c r="C1657" s="17"/>
    </row>
    <row r="1658" spans="2:3">
      <c r="B1658" s="17"/>
      <c r="C1658" s="17"/>
    </row>
    <row r="1659" spans="2:3">
      <c r="B1659" s="17"/>
      <c r="C1659" s="17"/>
    </row>
    <row r="1660" spans="2:3">
      <c r="B1660" s="17"/>
      <c r="C1660" s="17"/>
    </row>
    <row r="1661" spans="2:3">
      <c r="B1661" s="17"/>
      <c r="C1661" s="17"/>
    </row>
    <row r="1662" spans="2:3">
      <c r="B1662" s="17"/>
      <c r="C1662" s="17"/>
    </row>
    <row r="1663" spans="2:3">
      <c r="B1663" s="17"/>
      <c r="C1663" s="17"/>
    </row>
    <row r="1664" spans="2:3">
      <c r="B1664" s="17"/>
      <c r="C1664" s="17"/>
    </row>
    <row r="1665" spans="2:3">
      <c r="B1665" s="17"/>
      <c r="C1665" s="17"/>
    </row>
    <row r="1666" spans="2:3">
      <c r="B1666" s="17"/>
      <c r="C1666" s="17"/>
    </row>
    <row r="1667" spans="2:3">
      <c r="B1667" s="17"/>
      <c r="C1667" s="17"/>
    </row>
    <row r="1668" spans="2:3">
      <c r="B1668" s="17"/>
      <c r="C1668" s="17"/>
    </row>
    <row r="1669" spans="2:3">
      <c r="B1669" s="17"/>
      <c r="C1669" s="17"/>
    </row>
    <row r="1670" spans="2:3">
      <c r="B1670" s="17"/>
      <c r="C1670" s="17"/>
    </row>
    <row r="1671" spans="2:3">
      <c r="B1671" s="17"/>
      <c r="C1671" s="17"/>
    </row>
    <row r="1672" spans="2:3">
      <c r="B1672" s="17"/>
      <c r="C1672" s="17"/>
    </row>
    <row r="1673" spans="2:3">
      <c r="B1673" s="17"/>
      <c r="C1673" s="17"/>
    </row>
    <row r="1674" spans="2:3">
      <c r="B1674" s="17"/>
      <c r="C1674" s="17"/>
    </row>
    <row r="1675" spans="2:3">
      <c r="B1675" s="17"/>
      <c r="C1675" s="17"/>
    </row>
    <row r="1676" spans="2:3">
      <c r="B1676" s="17"/>
      <c r="C1676" s="17"/>
    </row>
    <row r="1677" spans="2:3">
      <c r="B1677" s="17"/>
      <c r="C1677" s="17"/>
    </row>
    <row r="1678" spans="2:3">
      <c r="B1678" s="17"/>
      <c r="C1678" s="17"/>
    </row>
    <row r="1679" spans="2:3">
      <c r="B1679" s="17"/>
      <c r="C1679" s="17"/>
    </row>
    <row r="1680" spans="2:3">
      <c r="B1680" s="17"/>
      <c r="C1680" s="17"/>
    </row>
    <row r="1681" spans="2:3">
      <c r="B1681" s="17"/>
      <c r="C1681" s="17"/>
    </row>
    <row r="1682" spans="2:3">
      <c r="B1682" s="17"/>
      <c r="C1682" s="17"/>
    </row>
    <row r="1683" spans="2:3">
      <c r="B1683" s="17"/>
      <c r="C1683" s="17"/>
    </row>
    <row r="1684" spans="2:3">
      <c r="B1684" s="17"/>
      <c r="C1684" s="17"/>
    </row>
    <row r="1685" spans="2:3">
      <c r="B1685" s="17"/>
      <c r="C1685" s="17"/>
    </row>
    <row r="1686" spans="2:3">
      <c r="B1686" s="17"/>
      <c r="C1686" s="17"/>
    </row>
    <row r="1687" spans="2:3">
      <c r="B1687" s="17"/>
      <c r="C1687" s="17"/>
    </row>
    <row r="1688" spans="2:3">
      <c r="B1688" s="17"/>
      <c r="C1688" s="17"/>
    </row>
    <row r="1689" spans="2:3">
      <c r="B1689" s="17"/>
      <c r="C1689" s="17"/>
    </row>
    <row r="1690" spans="2:3">
      <c r="B1690" s="17"/>
      <c r="C1690" s="17"/>
    </row>
    <row r="1691" spans="2:3">
      <c r="B1691" s="17"/>
      <c r="C1691" s="17"/>
    </row>
    <row r="1692" spans="2:3">
      <c r="B1692" s="17"/>
      <c r="C1692" s="17"/>
    </row>
    <row r="1693" spans="2:3">
      <c r="B1693" s="17"/>
      <c r="C1693" s="17"/>
    </row>
    <row r="1694" spans="2:3">
      <c r="B1694" s="17"/>
      <c r="C1694" s="17"/>
    </row>
    <row r="1695" spans="2:3">
      <c r="B1695" s="17"/>
      <c r="C1695" s="17"/>
    </row>
    <row r="1696" spans="2:3">
      <c r="B1696" s="17"/>
      <c r="C1696" s="17"/>
    </row>
    <row r="1697" spans="2:3">
      <c r="B1697" s="17"/>
      <c r="C1697" s="17"/>
    </row>
    <row r="1698" spans="2:3">
      <c r="B1698" s="17"/>
      <c r="C1698" s="17"/>
    </row>
    <row r="1699" spans="2:3">
      <c r="B1699" s="17"/>
      <c r="C1699" s="17"/>
    </row>
    <row r="1700" spans="2:3">
      <c r="B1700" s="17"/>
      <c r="C1700" s="17"/>
    </row>
    <row r="1701" spans="2:3">
      <c r="B1701" s="17"/>
      <c r="C1701" s="17"/>
    </row>
    <row r="1702" spans="2:3">
      <c r="B1702" s="17"/>
      <c r="C1702" s="17"/>
    </row>
    <row r="1703" spans="2:3">
      <c r="B1703" s="17"/>
      <c r="C1703" s="17"/>
    </row>
    <row r="1704" spans="2:3">
      <c r="B1704" s="17"/>
      <c r="C1704" s="17"/>
    </row>
    <row r="1705" spans="2:3">
      <c r="B1705" s="17"/>
      <c r="C1705" s="17"/>
    </row>
    <row r="1706" spans="2:3">
      <c r="B1706" s="17"/>
      <c r="C1706" s="17"/>
    </row>
    <row r="1707" spans="2:3">
      <c r="B1707" s="17"/>
      <c r="C1707" s="17"/>
    </row>
    <row r="1708" spans="2:3">
      <c r="B1708" s="17"/>
      <c r="C1708" s="17"/>
    </row>
    <row r="1709" spans="2:3">
      <c r="B1709" s="17"/>
      <c r="C1709" s="17"/>
    </row>
    <row r="1710" spans="2:3">
      <c r="B1710" s="17"/>
      <c r="C1710" s="17"/>
    </row>
    <row r="1711" spans="2:3">
      <c r="B1711" s="17"/>
      <c r="C1711" s="17"/>
    </row>
    <row r="1712" spans="2:3">
      <c r="B1712" s="17"/>
      <c r="C1712" s="17"/>
    </row>
    <row r="1713" spans="2:3">
      <c r="B1713" s="17"/>
      <c r="C1713" s="17"/>
    </row>
    <row r="1714" spans="2:3">
      <c r="B1714" s="17"/>
      <c r="C1714" s="17"/>
    </row>
    <row r="1715" spans="2:3">
      <c r="B1715" s="17"/>
      <c r="C1715" s="17"/>
    </row>
    <row r="1716" spans="2:3">
      <c r="B1716" s="17"/>
      <c r="C1716" s="17"/>
    </row>
    <row r="1717" spans="2:3">
      <c r="B1717" s="17"/>
      <c r="C1717" s="17"/>
    </row>
    <row r="1718" spans="2:3">
      <c r="B1718" s="17"/>
      <c r="C1718" s="17"/>
    </row>
    <row r="1719" spans="2:3">
      <c r="B1719" s="17"/>
      <c r="C1719" s="17"/>
    </row>
    <row r="1720" spans="2:3">
      <c r="B1720" s="17"/>
      <c r="C1720" s="17"/>
    </row>
    <row r="1721" spans="2:3">
      <c r="B1721" s="17"/>
      <c r="C1721" s="17"/>
    </row>
    <row r="1722" spans="2:3">
      <c r="B1722" s="17"/>
      <c r="C1722" s="17"/>
    </row>
    <row r="1723" spans="2:3">
      <c r="B1723" s="17"/>
      <c r="C1723" s="17"/>
    </row>
    <row r="1724" spans="2:3">
      <c r="B1724" s="17"/>
      <c r="C1724" s="17"/>
    </row>
    <row r="1725" spans="2:3">
      <c r="B1725" s="17"/>
      <c r="C1725" s="17"/>
    </row>
    <row r="1726" spans="2:3">
      <c r="B1726" s="17"/>
      <c r="C1726" s="17"/>
    </row>
    <row r="1727" spans="2:3">
      <c r="B1727" s="17"/>
      <c r="C1727" s="17"/>
    </row>
    <row r="1728" spans="2:3">
      <c r="B1728" s="17"/>
      <c r="C1728" s="17"/>
    </row>
    <row r="1729" spans="2:3">
      <c r="B1729" s="17"/>
      <c r="C1729" s="17"/>
    </row>
    <row r="1730" spans="2:3">
      <c r="B1730" s="17"/>
      <c r="C1730" s="17"/>
    </row>
    <row r="1731" spans="2:3">
      <c r="B1731" s="17"/>
      <c r="C1731" s="17"/>
    </row>
    <row r="1732" spans="2:3">
      <c r="B1732" s="17"/>
      <c r="C1732" s="17"/>
    </row>
    <row r="1733" spans="2:3">
      <c r="B1733" s="17"/>
      <c r="C1733" s="17"/>
    </row>
    <row r="1734" spans="2:3">
      <c r="B1734" s="17"/>
      <c r="C1734" s="17"/>
    </row>
    <row r="1735" spans="2:3">
      <c r="B1735" s="17"/>
      <c r="C1735" s="17"/>
    </row>
    <row r="1736" spans="2:3">
      <c r="B1736" s="17"/>
      <c r="C1736" s="17"/>
    </row>
    <row r="1737" spans="2:3">
      <c r="B1737" s="17"/>
      <c r="C1737" s="17"/>
    </row>
    <row r="1738" spans="2:3">
      <c r="B1738" s="17"/>
      <c r="C1738" s="17"/>
    </row>
    <row r="1739" spans="2:3">
      <c r="B1739" s="17"/>
      <c r="C1739" s="17"/>
    </row>
    <row r="1740" spans="2:3">
      <c r="B1740" s="17"/>
      <c r="C1740" s="17"/>
    </row>
    <row r="1741" spans="2:3">
      <c r="B1741" s="17"/>
      <c r="C1741" s="17"/>
    </row>
    <row r="1742" spans="2:3">
      <c r="B1742" s="17"/>
      <c r="C1742" s="17"/>
    </row>
    <row r="1743" spans="2:3">
      <c r="B1743" s="17"/>
      <c r="C1743" s="17"/>
    </row>
    <row r="1744" spans="2:3">
      <c r="B1744" s="17"/>
      <c r="C1744" s="17"/>
    </row>
    <row r="1745" spans="2:3">
      <c r="B1745" s="17"/>
      <c r="C1745" s="17"/>
    </row>
    <row r="1746" spans="2:3">
      <c r="B1746" s="17"/>
      <c r="C1746" s="17"/>
    </row>
    <row r="1747" spans="2:3">
      <c r="B1747" s="17"/>
      <c r="C1747" s="17"/>
    </row>
    <row r="1748" spans="2:3">
      <c r="B1748" s="17"/>
      <c r="C1748" s="17"/>
    </row>
    <row r="1749" spans="2:3">
      <c r="B1749" s="17"/>
      <c r="C1749" s="17"/>
    </row>
    <row r="1750" spans="2:3">
      <c r="B1750" s="17"/>
      <c r="C1750" s="17"/>
    </row>
    <row r="1751" spans="2:3">
      <c r="B1751" s="17"/>
      <c r="C1751" s="17"/>
    </row>
    <row r="1752" spans="2:3">
      <c r="B1752" s="17"/>
      <c r="C1752" s="17"/>
    </row>
    <row r="1753" spans="2:3">
      <c r="B1753" s="17"/>
      <c r="C1753" s="17"/>
    </row>
    <row r="1754" spans="2:3">
      <c r="B1754" s="17"/>
      <c r="C1754" s="17"/>
    </row>
    <row r="1755" spans="2:3">
      <c r="B1755" s="17"/>
      <c r="C1755" s="17"/>
    </row>
    <row r="1756" spans="2:3">
      <c r="B1756" s="17"/>
      <c r="C1756" s="17"/>
    </row>
    <row r="1757" spans="2:3">
      <c r="B1757" s="17"/>
      <c r="C1757" s="17"/>
    </row>
    <row r="1758" spans="2:3">
      <c r="B1758" s="17"/>
      <c r="C1758" s="17"/>
    </row>
    <row r="1759" spans="2:3">
      <c r="B1759" s="17"/>
      <c r="C1759" s="17"/>
    </row>
    <row r="1760" spans="2:3">
      <c r="B1760" s="17"/>
      <c r="C1760" s="17"/>
    </row>
    <row r="1761" spans="2:3">
      <c r="B1761" s="17"/>
      <c r="C1761" s="17"/>
    </row>
    <row r="1762" spans="2:3">
      <c r="B1762" s="17"/>
      <c r="C1762" s="17"/>
    </row>
    <row r="1763" spans="2:3">
      <c r="B1763" s="17"/>
      <c r="C1763" s="17"/>
    </row>
    <row r="1764" spans="2:3">
      <c r="B1764" s="17"/>
      <c r="C1764" s="17"/>
    </row>
    <row r="1765" spans="2:3">
      <c r="B1765" s="17"/>
      <c r="C1765" s="17"/>
    </row>
    <row r="1766" spans="2:3">
      <c r="B1766" s="17"/>
      <c r="C1766" s="17"/>
    </row>
    <row r="1767" spans="2:3">
      <c r="B1767" s="17"/>
      <c r="C1767" s="17"/>
    </row>
    <row r="1768" spans="2:3">
      <c r="B1768" s="17"/>
      <c r="C1768" s="17"/>
    </row>
    <row r="1769" spans="2:3">
      <c r="B1769" s="17"/>
      <c r="C1769" s="17"/>
    </row>
    <row r="1770" spans="2:3">
      <c r="B1770" s="17"/>
      <c r="C1770" s="17"/>
    </row>
    <row r="1771" spans="2:3">
      <c r="B1771" s="17"/>
      <c r="C1771" s="17"/>
    </row>
    <row r="1772" spans="2:3">
      <c r="B1772" s="17"/>
      <c r="C1772" s="17"/>
    </row>
    <row r="1773" spans="2:3">
      <c r="B1773" s="17"/>
      <c r="C1773" s="17"/>
    </row>
    <row r="1774" spans="2:3">
      <c r="B1774" s="17"/>
      <c r="C1774" s="17"/>
    </row>
    <row r="1775" spans="2:3">
      <c r="B1775" s="17"/>
      <c r="C1775" s="17"/>
    </row>
    <row r="1776" spans="2:3">
      <c r="B1776" s="17"/>
      <c r="C1776" s="17"/>
    </row>
    <row r="1777" spans="2:3">
      <c r="B1777" s="17"/>
      <c r="C1777" s="17"/>
    </row>
    <row r="1778" spans="2:3">
      <c r="B1778" s="17"/>
      <c r="C1778" s="17"/>
    </row>
    <row r="1779" spans="2:3">
      <c r="B1779" s="17"/>
      <c r="C1779" s="17"/>
    </row>
    <row r="1780" spans="2:3">
      <c r="B1780" s="17"/>
      <c r="C1780" s="17"/>
    </row>
    <row r="1781" spans="2:3">
      <c r="B1781" s="17"/>
      <c r="C1781" s="17"/>
    </row>
    <row r="1782" spans="2:3">
      <c r="B1782" s="17"/>
      <c r="C1782" s="17"/>
    </row>
    <row r="1783" spans="2:3">
      <c r="B1783" s="17"/>
      <c r="C1783" s="17"/>
    </row>
    <row r="1784" spans="2:3">
      <c r="B1784" s="17"/>
      <c r="C1784" s="17"/>
    </row>
    <row r="1785" spans="2:3">
      <c r="B1785" s="17"/>
      <c r="C1785" s="17"/>
    </row>
    <row r="1786" spans="2:3">
      <c r="B1786" s="17"/>
      <c r="C1786" s="17"/>
    </row>
    <row r="1787" spans="2:3">
      <c r="B1787" s="17"/>
      <c r="C1787" s="17"/>
    </row>
    <row r="1788" spans="2:3">
      <c r="B1788" s="17"/>
      <c r="C1788" s="17"/>
    </row>
    <row r="1789" spans="2:3">
      <c r="B1789" s="17"/>
      <c r="C1789" s="17"/>
    </row>
    <row r="1790" spans="2:3">
      <c r="B1790" s="17"/>
      <c r="C1790" s="17"/>
    </row>
    <row r="1791" spans="2:3">
      <c r="B1791" s="17"/>
      <c r="C1791" s="17"/>
    </row>
    <row r="1792" spans="2:3">
      <c r="B1792" s="17"/>
      <c r="C1792" s="17"/>
    </row>
    <row r="1793" spans="2:3">
      <c r="B1793" s="17"/>
      <c r="C1793" s="17"/>
    </row>
    <row r="1794" spans="2:3">
      <c r="B1794" s="17"/>
      <c r="C1794" s="17"/>
    </row>
    <row r="1795" spans="2:3">
      <c r="B1795" s="17"/>
      <c r="C1795" s="17"/>
    </row>
    <row r="1796" spans="2:3">
      <c r="B1796" s="17"/>
      <c r="C1796" s="17"/>
    </row>
    <row r="1797" spans="2:3">
      <c r="B1797" s="17"/>
      <c r="C1797" s="17"/>
    </row>
    <row r="1798" spans="2:3">
      <c r="B1798" s="17"/>
      <c r="C1798" s="17"/>
    </row>
    <row r="1799" spans="2:3">
      <c r="B1799" s="17"/>
      <c r="C1799" s="17"/>
    </row>
    <row r="1800" spans="2:3">
      <c r="B1800" s="17"/>
      <c r="C1800" s="17"/>
    </row>
    <row r="1801" spans="2:3">
      <c r="B1801" s="17"/>
      <c r="C1801" s="17"/>
    </row>
    <row r="1802" spans="2:3">
      <c r="B1802" s="17"/>
      <c r="C1802" s="17"/>
    </row>
    <row r="1803" spans="2:3">
      <c r="B1803" s="17"/>
      <c r="C1803" s="17"/>
    </row>
    <row r="1804" spans="2:3">
      <c r="B1804" s="17"/>
      <c r="C1804" s="17"/>
    </row>
    <row r="1805" spans="2:3">
      <c r="B1805" s="17"/>
      <c r="C1805" s="17"/>
    </row>
    <row r="1806" spans="2:3">
      <c r="B1806" s="17"/>
      <c r="C1806" s="17"/>
    </row>
    <row r="1807" spans="2:3">
      <c r="B1807" s="17"/>
      <c r="C1807" s="17"/>
    </row>
    <row r="1808" spans="2:3">
      <c r="B1808" s="17"/>
      <c r="C1808" s="17"/>
    </row>
    <row r="1809" spans="2:3">
      <c r="B1809" s="17"/>
      <c r="C1809" s="17"/>
    </row>
    <row r="1810" spans="2:3">
      <c r="B1810" s="17"/>
      <c r="C1810" s="17"/>
    </row>
    <row r="1811" spans="2:3">
      <c r="B1811" s="17"/>
      <c r="C1811" s="17"/>
    </row>
    <row r="1812" spans="2:3">
      <c r="B1812" s="17"/>
      <c r="C1812" s="17"/>
    </row>
    <row r="1813" spans="2:3">
      <c r="B1813" s="17"/>
      <c r="C1813" s="17"/>
    </row>
    <row r="1814" spans="2:3">
      <c r="B1814" s="17"/>
      <c r="C1814" s="17"/>
    </row>
    <row r="1815" spans="2:3">
      <c r="B1815" s="17"/>
      <c r="C1815" s="17"/>
    </row>
    <row r="1816" spans="2:3">
      <c r="B1816" s="17"/>
      <c r="C1816" s="17"/>
    </row>
    <row r="1817" spans="2:3">
      <c r="B1817" s="17"/>
      <c r="C1817" s="17"/>
    </row>
    <row r="1818" spans="2:3">
      <c r="B1818" s="17"/>
      <c r="C1818" s="17"/>
    </row>
    <row r="1819" spans="2:3">
      <c r="B1819" s="17"/>
      <c r="C1819" s="17"/>
    </row>
    <row r="1820" spans="2:3">
      <c r="B1820" s="17"/>
      <c r="C1820" s="17"/>
    </row>
    <row r="1821" spans="2:3">
      <c r="B1821" s="17"/>
      <c r="C1821" s="17"/>
    </row>
    <row r="1822" spans="2:3">
      <c r="B1822" s="17"/>
      <c r="C1822" s="17"/>
    </row>
    <row r="1823" spans="2:3">
      <c r="B1823" s="17"/>
      <c r="C1823" s="17"/>
    </row>
    <row r="1824" spans="2:3">
      <c r="B1824" s="17"/>
      <c r="C1824" s="17"/>
    </row>
    <row r="1825" spans="2:3">
      <c r="B1825" s="17"/>
      <c r="C1825" s="17"/>
    </row>
    <row r="1826" spans="2:3">
      <c r="B1826" s="17"/>
      <c r="C1826" s="17"/>
    </row>
    <row r="1827" spans="2:3">
      <c r="B1827" s="17"/>
      <c r="C1827" s="17"/>
    </row>
    <row r="1828" spans="2:3">
      <c r="B1828" s="17"/>
      <c r="C1828" s="17"/>
    </row>
    <row r="1829" spans="2:3">
      <c r="B1829" s="17"/>
      <c r="C1829" s="17"/>
    </row>
    <row r="1830" spans="2:3">
      <c r="B1830" s="17"/>
      <c r="C1830" s="17"/>
    </row>
    <row r="1831" spans="2:3">
      <c r="B1831" s="17"/>
      <c r="C1831" s="17"/>
    </row>
    <row r="1832" spans="2:3">
      <c r="B1832" s="17"/>
      <c r="C1832" s="17"/>
    </row>
    <row r="1833" spans="2:3">
      <c r="B1833" s="17"/>
      <c r="C1833" s="17"/>
    </row>
    <row r="1834" spans="2:3">
      <c r="B1834" s="17"/>
      <c r="C1834" s="17"/>
    </row>
    <row r="1835" spans="2:3">
      <c r="B1835" s="17"/>
      <c r="C1835" s="17"/>
    </row>
    <row r="1836" spans="2:3">
      <c r="B1836" s="17"/>
      <c r="C1836" s="17"/>
    </row>
    <row r="1837" spans="2:3">
      <c r="B1837" s="17"/>
      <c r="C1837" s="17"/>
    </row>
    <row r="1838" spans="2:3">
      <c r="B1838" s="17"/>
      <c r="C1838" s="17"/>
    </row>
    <row r="1839" spans="2:3">
      <c r="B1839" s="17"/>
      <c r="C1839" s="17"/>
    </row>
    <row r="1840" spans="2:3">
      <c r="B1840" s="17"/>
      <c r="C1840" s="17"/>
    </row>
    <row r="1841" spans="2:3">
      <c r="B1841" s="17"/>
      <c r="C1841" s="17"/>
    </row>
    <row r="1842" spans="2:3">
      <c r="B1842" s="17"/>
      <c r="C1842" s="17"/>
    </row>
    <row r="1843" spans="2:3">
      <c r="B1843" s="17"/>
      <c r="C1843" s="17"/>
    </row>
    <row r="1844" spans="2:3">
      <c r="B1844" s="17"/>
      <c r="C1844" s="17"/>
    </row>
    <row r="1845" spans="2:3">
      <c r="B1845" s="17"/>
      <c r="C1845" s="17"/>
    </row>
    <row r="1846" spans="2:3">
      <c r="B1846" s="17"/>
      <c r="C1846" s="17"/>
    </row>
    <row r="1847" spans="2:3">
      <c r="B1847" s="17"/>
      <c r="C1847" s="17"/>
    </row>
    <row r="1848" spans="2:3">
      <c r="B1848" s="17"/>
      <c r="C1848" s="17"/>
    </row>
    <row r="1849" spans="2:3">
      <c r="B1849" s="17"/>
      <c r="C1849" s="17"/>
    </row>
    <row r="1850" spans="2:3">
      <c r="B1850" s="17"/>
      <c r="C1850" s="17"/>
    </row>
    <row r="1851" spans="2:3">
      <c r="B1851" s="17"/>
      <c r="C1851" s="17"/>
    </row>
    <row r="1852" spans="2:3">
      <c r="B1852" s="17"/>
      <c r="C1852" s="17"/>
    </row>
    <row r="1853" spans="2:3">
      <c r="B1853" s="17"/>
      <c r="C1853" s="17"/>
    </row>
    <row r="1854" spans="2:3">
      <c r="B1854" s="17"/>
      <c r="C1854" s="17"/>
    </row>
    <row r="1855" spans="2:3">
      <c r="B1855" s="17"/>
      <c r="C1855" s="17"/>
    </row>
    <row r="1856" spans="2:3">
      <c r="B1856" s="17"/>
      <c r="C1856" s="17"/>
    </row>
    <row r="1857" spans="2:3">
      <c r="B1857" s="17"/>
      <c r="C1857" s="17"/>
    </row>
    <row r="1858" spans="2:3">
      <c r="B1858" s="17"/>
      <c r="C1858" s="17"/>
    </row>
    <row r="1859" spans="2:3">
      <c r="B1859" s="17"/>
      <c r="C1859" s="17"/>
    </row>
    <row r="1860" spans="2:3">
      <c r="B1860" s="17"/>
      <c r="C1860" s="17"/>
    </row>
    <row r="1861" spans="2:3">
      <c r="B1861" s="17"/>
      <c r="C1861" s="17"/>
    </row>
    <row r="1862" spans="2:3">
      <c r="B1862" s="17"/>
      <c r="C1862" s="17"/>
    </row>
    <row r="1863" spans="2:3">
      <c r="B1863" s="17"/>
      <c r="C1863" s="17"/>
    </row>
    <row r="1864" spans="2:3">
      <c r="B1864" s="17"/>
      <c r="C1864" s="17"/>
    </row>
    <row r="1865" spans="2:3">
      <c r="B1865" s="17"/>
      <c r="C1865" s="17"/>
    </row>
    <row r="1866" spans="2:3">
      <c r="B1866" s="17"/>
      <c r="C1866" s="17"/>
    </row>
    <row r="1867" spans="2:3">
      <c r="B1867" s="17"/>
      <c r="C1867" s="17"/>
    </row>
    <row r="1868" spans="2:3">
      <c r="B1868" s="17"/>
      <c r="C1868" s="17"/>
    </row>
    <row r="1869" spans="2:3">
      <c r="B1869" s="17"/>
      <c r="C1869" s="17"/>
    </row>
    <row r="1870" spans="2:3">
      <c r="B1870" s="17"/>
      <c r="C1870" s="17"/>
    </row>
    <row r="1871" spans="2:3">
      <c r="B1871" s="17"/>
      <c r="C1871" s="17"/>
    </row>
    <row r="1872" spans="2:3">
      <c r="B1872" s="17"/>
      <c r="C1872" s="17"/>
    </row>
    <row r="1873" spans="2:3">
      <c r="B1873" s="17"/>
      <c r="C1873" s="17"/>
    </row>
    <row r="1874" spans="2:3">
      <c r="B1874" s="17"/>
      <c r="C1874" s="17"/>
    </row>
    <row r="1875" spans="2:3">
      <c r="B1875" s="17"/>
      <c r="C1875" s="17"/>
    </row>
    <row r="1876" spans="2:3">
      <c r="B1876" s="17"/>
      <c r="C1876" s="17"/>
    </row>
    <row r="1877" spans="2:3">
      <c r="B1877" s="17"/>
      <c r="C1877" s="17"/>
    </row>
    <row r="1878" spans="2:3">
      <c r="B1878" s="17"/>
      <c r="C1878" s="17"/>
    </row>
    <row r="1879" spans="2:3">
      <c r="B1879" s="17"/>
      <c r="C1879" s="17"/>
    </row>
    <row r="1880" spans="2:3">
      <c r="B1880" s="17"/>
      <c r="C1880" s="17"/>
    </row>
    <row r="1881" spans="2:3">
      <c r="B1881" s="17"/>
      <c r="C1881" s="17"/>
    </row>
    <row r="1882" spans="2:3">
      <c r="B1882" s="17"/>
      <c r="C1882" s="17"/>
    </row>
    <row r="1883" spans="2:3">
      <c r="B1883" s="17"/>
      <c r="C1883" s="17"/>
    </row>
    <row r="1884" spans="2:3">
      <c r="B1884" s="17"/>
      <c r="C1884" s="17"/>
    </row>
    <row r="1885" spans="2:3">
      <c r="B1885" s="17"/>
      <c r="C1885" s="17"/>
    </row>
    <row r="1886" spans="2:3">
      <c r="B1886" s="17"/>
      <c r="C1886" s="17"/>
    </row>
    <row r="1887" spans="2:3">
      <c r="B1887" s="17"/>
      <c r="C1887" s="17"/>
    </row>
    <row r="1888" spans="2:3">
      <c r="B1888" s="17"/>
      <c r="C1888" s="17"/>
    </row>
    <row r="1889" spans="2:3">
      <c r="B1889" s="17"/>
      <c r="C1889" s="17"/>
    </row>
    <row r="1890" spans="2:3">
      <c r="B1890" s="17"/>
      <c r="C1890" s="17"/>
    </row>
    <row r="1891" spans="2:3">
      <c r="B1891" s="17"/>
      <c r="C1891" s="17"/>
    </row>
    <row r="1892" spans="2:3">
      <c r="B1892" s="17"/>
      <c r="C1892" s="17"/>
    </row>
    <row r="1893" spans="2:3">
      <c r="B1893" s="17"/>
      <c r="C1893" s="17"/>
    </row>
    <row r="1894" spans="2:3">
      <c r="B1894" s="17"/>
      <c r="C1894" s="17"/>
    </row>
    <row r="1895" spans="2:3">
      <c r="B1895" s="17"/>
      <c r="C1895" s="17"/>
    </row>
    <row r="1896" spans="2:3">
      <c r="B1896" s="17"/>
      <c r="C1896" s="17"/>
    </row>
    <row r="1897" spans="2:3">
      <c r="B1897" s="17"/>
      <c r="C1897" s="17"/>
    </row>
    <row r="1898" spans="2:3">
      <c r="B1898" s="17"/>
      <c r="C1898" s="17"/>
    </row>
    <row r="1899" spans="2:3">
      <c r="B1899" s="17"/>
      <c r="C1899" s="17"/>
    </row>
    <row r="1900" spans="2:3">
      <c r="B1900" s="17"/>
      <c r="C1900" s="17"/>
    </row>
    <row r="1901" spans="2:3">
      <c r="B1901" s="17"/>
      <c r="C1901" s="17"/>
    </row>
    <row r="1902" spans="2:3">
      <c r="B1902" s="17"/>
      <c r="C1902" s="17"/>
    </row>
    <row r="1903" spans="2:3">
      <c r="B1903" s="17"/>
      <c r="C1903" s="17"/>
    </row>
    <row r="1904" spans="2:3">
      <c r="B1904" s="17"/>
      <c r="C1904" s="17"/>
    </row>
    <row r="1905" spans="2:3">
      <c r="B1905" s="17"/>
      <c r="C1905" s="17"/>
    </row>
    <row r="1906" spans="2:3">
      <c r="B1906" s="17"/>
      <c r="C1906" s="17"/>
    </row>
    <row r="1907" spans="2:3">
      <c r="B1907" s="17"/>
      <c r="C1907" s="17"/>
    </row>
    <row r="1908" spans="2:3">
      <c r="B1908" s="17"/>
      <c r="C1908" s="17"/>
    </row>
    <row r="1909" spans="2:3">
      <c r="B1909" s="17"/>
      <c r="C1909" s="17"/>
    </row>
    <row r="1910" spans="2:3">
      <c r="B1910" s="17"/>
      <c r="C1910" s="17"/>
    </row>
    <row r="1911" spans="2:3">
      <c r="B1911" s="17"/>
      <c r="C1911" s="17"/>
    </row>
    <row r="1912" spans="2:3">
      <c r="B1912" s="17"/>
      <c r="C1912" s="17"/>
    </row>
    <row r="1913" spans="2:3">
      <c r="B1913" s="17"/>
      <c r="C1913" s="17"/>
    </row>
    <row r="1914" spans="2:3">
      <c r="B1914" s="17"/>
      <c r="C1914" s="17"/>
    </row>
    <row r="1915" spans="2:3">
      <c r="B1915" s="17"/>
      <c r="C1915" s="17"/>
    </row>
    <row r="1916" spans="2:3">
      <c r="B1916" s="17"/>
      <c r="C1916" s="17"/>
    </row>
    <row r="1917" spans="2:3">
      <c r="B1917" s="17"/>
      <c r="C1917" s="17"/>
    </row>
    <row r="1918" spans="2:3">
      <c r="B1918" s="17"/>
      <c r="C1918" s="17"/>
    </row>
    <row r="1919" spans="2:3">
      <c r="B1919" s="17"/>
      <c r="C1919" s="17"/>
    </row>
    <row r="1920" spans="2:3">
      <c r="B1920" s="17"/>
      <c r="C1920" s="17"/>
    </row>
    <row r="1921" spans="2:3">
      <c r="B1921" s="17"/>
      <c r="C1921" s="17"/>
    </row>
    <row r="1922" spans="2:3">
      <c r="B1922" s="17"/>
      <c r="C1922" s="17"/>
    </row>
    <row r="1923" spans="2:3">
      <c r="B1923" s="17"/>
      <c r="C1923" s="17"/>
    </row>
    <row r="1924" spans="2:3">
      <c r="B1924" s="17"/>
      <c r="C1924" s="17"/>
    </row>
    <row r="1925" spans="2:3">
      <c r="B1925" s="17"/>
      <c r="C1925" s="17"/>
    </row>
    <row r="1926" spans="2:3">
      <c r="B1926" s="17"/>
      <c r="C1926" s="17"/>
    </row>
    <row r="1927" spans="2:3">
      <c r="B1927" s="17"/>
      <c r="C1927" s="17"/>
    </row>
    <row r="1928" spans="2:3">
      <c r="B1928" s="17"/>
      <c r="C1928" s="17"/>
    </row>
    <row r="1929" spans="2:3">
      <c r="B1929" s="17"/>
      <c r="C1929" s="17"/>
    </row>
    <row r="1930" spans="2:3">
      <c r="B1930" s="17"/>
      <c r="C1930" s="17"/>
    </row>
    <row r="1931" spans="2:3">
      <c r="B1931" s="17"/>
      <c r="C1931" s="17"/>
    </row>
    <row r="1932" spans="2:3">
      <c r="B1932" s="17"/>
      <c r="C1932" s="17"/>
    </row>
    <row r="1933" spans="2:3">
      <c r="B1933" s="17"/>
      <c r="C1933" s="17"/>
    </row>
    <row r="1934" spans="2:3">
      <c r="B1934" s="17"/>
      <c r="C1934" s="17"/>
    </row>
    <row r="1935" spans="2:3">
      <c r="B1935" s="17"/>
      <c r="C1935" s="17"/>
    </row>
    <row r="1936" spans="2:3">
      <c r="B1936" s="17"/>
      <c r="C1936" s="17"/>
    </row>
    <row r="1937" spans="2:3">
      <c r="B1937" s="17"/>
      <c r="C1937" s="17"/>
    </row>
    <row r="1938" spans="2:3">
      <c r="B1938" s="17"/>
      <c r="C1938" s="17"/>
    </row>
    <row r="1939" spans="2:3">
      <c r="B1939" s="17"/>
      <c r="C1939" s="17"/>
    </row>
    <row r="1940" spans="2:3">
      <c r="B1940" s="17"/>
      <c r="C1940" s="17"/>
    </row>
    <row r="1941" spans="2:3">
      <c r="B1941" s="17"/>
      <c r="C1941" s="17"/>
    </row>
    <row r="1942" spans="2:3">
      <c r="B1942" s="17"/>
      <c r="C1942" s="17"/>
    </row>
    <row r="1943" spans="2:3">
      <c r="B1943" s="17"/>
      <c r="C1943" s="17"/>
    </row>
    <row r="1944" spans="2:3">
      <c r="B1944" s="17"/>
      <c r="C1944" s="17"/>
    </row>
    <row r="1945" spans="2:3">
      <c r="B1945" s="17"/>
      <c r="C1945" s="17"/>
    </row>
    <row r="1946" spans="2:3">
      <c r="B1946" s="17"/>
      <c r="C1946" s="17"/>
    </row>
    <row r="1947" spans="2:3">
      <c r="B1947" s="17"/>
      <c r="C1947" s="17"/>
    </row>
    <row r="1948" spans="2:3">
      <c r="B1948" s="17"/>
      <c r="C1948" s="17"/>
    </row>
    <row r="1949" spans="2:3">
      <c r="B1949" s="17"/>
      <c r="C1949" s="17"/>
    </row>
    <row r="1950" spans="2:3">
      <c r="B1950" s="17"/>
      <c r="C1950" s="17"/>
    </row>
    <row r="1951" spans="2:3">
      <c r="B1951" s="17"/>
      <c r="C1951" s="17"/>
    </row>
    <row r="1952" spans="2:3">
      <c r="B1952" s="17"/>
      <c r="C1952" s="17"/>
    </row>
    <row r="1953" spans="2:3">
      <c r="B1953" s="17"/>
      <c r="C1953" s="17"/>
    </row>
    <row r="1954" spans="2:3">
      <c r="B1954" s="17"/>
      <c r="C1954" s="17"/>
    </row>
    <row r="1955" spans="2:3">
      <c r="B1955" s="17"/>
      <c r="C1955" s="17"/>
    </row>
    <row r="1956" spans="2:3">
      <c r="B1956" s="17"/>
      <c r="C1956" s="17"/>
    </row>
    <row r="1957" spans="2:3">
      <c r="B1957" s="17"/>
      <c r="C1957" s="17"/>
    </row>
    <row r="1958" spans="2:3">
      <c r="B1958" s="17"/>
      <c r="C1958" s="17"/>
    </row>
    <row r="1959" spans="2:3">
      <c r="B1959" s="17"/>
      <c r="C1959" s="17"/>
    </row>
    <row r="1960" spans="2:3">
      <c r="B1960" s="17"/>
      <c r="C1960" s="17"/>
    </row>
    <row r="1961" spans="2:3">
      <c r="B1961" s="17"/>
      <c r="C1961" s="17"/>
    </row>
    <row r="1962" spans="2:3">
      <c r="B1962" s="17"/>
      <c r="C1962" s="17"/>
    </row>
    <row r="1963" spans="2:3">
      <c r="B1963" s="17"/>
      <c r="C1963" s="17"/>
    </row>
    <row r="1964" spans="2:3">
      <c r="B1964" s="17"/>
      <c r="C1964" s="17"/>
    </row>
    <row r="1965" spans="2:3">
      <c r="B1965" s="17"/>
      <c r="C1965" s="17"/>
    </row>
    <row r="1966" spans="2:3">
      <c r="B1966" s="17"/>
      <c r="C1966" s="17"/>
    </row>
    <row r="1967" spans="2:3">
      <c r="B1967" s="17"/>
      <c r="C1967" s="17"/>
    </row>
    <row r="1968" spans="2:3">
      <c r="B1968" s="17"/>
      <c r="C1968" s="17"/>
    </row>
    <row r="1969" spans="2:3">
      <c r="B1969" s="17"/>
      <c r="C1969" s="17"/>
    </row>
    <row r="1970" spans="2:3">
      <c r="B1970" s="17"/>
      <c r="C1970" s="17"/>
    </row>
    <row r="1971" spans="2:3">
      <c r="B1971" s="17"/>
      <c r="C1971" s="17"/>
    </row>
    <row r="1972" spans="2:3">
      <c r="B1972" s="17"/>
      <c r="C1972" s="17"/>
    </row>
    <row r="1973" spans="2:3">
      <c r="B1973" s="17"/>
      <c r="C1973" s="17"/>
    </row>
    <row r="1974" spans="2:3">
      <c r="B1974" s="17"/>
      <c r="C1974" s="17"/>
    </row>
    <row r="1975" spans="2:3">
      <c r="B1975" s="17"/>
      <c r="C1975" s="17"/>
    </row>
    <row r="1976" spans="2:3">
      <c r="B1976" s="17"/>
      <c r="C1976" s="17"/>
    </row>
    <row r="1977" spans="2:3">
      <c r="B1977" s="17"/>
      <c r="C1977" s="17"/>
    </row>
    <row r="1978" spans="2:3">
      <c r="B1978" s="17"/>
      <c r="C1978" s="17"/>
    </row>
    <row r="1979" spans="2:3">
      <c r="B1979" s="17"/>
      <c r="C1979" s="17"/>
    </row>
    <row r="1980" spans="2:3">
      <c r="B1980" s="17"/>
      <c r="C1980" s="17"/>
    </row>
    <row r="1981" spans="2:3">
      <c r="B1981" s="17"/>
      <c r="C1981" s="17"/>
    </row>
    <row r="1982" spans="2:3">
      <c r="B1982" s="17"/>
      <c r="C1982" s="17"/>
    </row>
    <row r="1983" spans="2:3">
      <c r="B1983" s="17"/>
      <c r="C1983" s="17"/>
    </row>
    <row r="1984" spans="2:3">
      <c r="B1984" s="17"/>
      <c r="C1984" s="17"/>
    </row>
    <row r="1985" spans="2:3">
      <c r="B1985" s="17"/>
      <c r="C1985" s="17"/>
    </row>
    <row r="1986" spans="2:3">
      <c r="B1986" s="17"/>
      <c r="C1986" s="17"/>
    </row>
    <row r="1987" spans="2:3">
      <c r="B1987" s="17"/>
      <c r="C1987" s="17"/>
    </row>
    <row r="1988" spans="2:3">
      <c r="B1988" s="17"/>
      <c r="C1988" s="17"/>
    </row>
    <row r="1989" spans="2:3">
      <c r="B1989" s="17"/>
      <c r="C1989" s="17"/>
    </row>
    <row r="1990" spans="2:3">
      <c r="B1990" s="17"/>
      <c r="C1990" s="17"/>
    </row>
    <row r="1991" spans="2:3">
      <c r="B1991" s="17"/>
      <c r="C1991" s="17"/>
    </row>
    <row r="1992" spans="2:3">
      <c r="B1992" s="17"/>
      <c r="C1992" s="17"/>
    </row>
    <row r="1993" spans="2:3">
      <c r="B1993" s="17"/>
      <c r="C1993" s="17"/>
    </row>
    <row r="1994" spans="2:3">
      <c r="B1994" s="17"/>
      <c r="C1994" s="17"/>
    </row>
    <row r="1995" spans="2:3">
      <c r="B1995" s="17"/>
      <c r="C1995" s="17"/>
    </row>
    <row r="1996" spans="2:3">
      <c r="B1996" s="17"/>
      <c r="C1996" s="17"/>
    </row>
    <row r="1997" spans="2:3">
      <c r="B1997" s="17"/>
      <c r="C1997" s="17"/>
    </row>
    <row r="1998" spans="2:3">
      <c r="B1998" s="17"/>
      <c r="C1998" s="17"/>
    </row>
    <row r="1999" spans="2:3">
      <c r="B1999" s="17"/>
      <c r="C1999" s="17"/>
    </row>
    <row r="2000" spans="2:3">
      <c r="B2000" s="17"/>
      <c r="C2000" s="17"/>
    </row>
    <row r="2001" spans="2:3">
      <c r="B2001" s="17"/>
      <c r="C2001" s="17"/>
    </row>
    <row r="2002" spans="2:3">
      <c r="B2002" s="17"/>
      <c r="C2002" s="17"/>
    </row>
    <row r="2003" spans="2:3">
      <c r="B2003" s="17"/>
      <c r="C2003" s="17"/>
    </row>
    <row r="2004" spans="2:3">
      <c r="B2004" s="17"/>
      <c r="C2004" s="17"/>
    </row>
    <row r="2005" spans="2:3">
      <c r="B2005" s="17"/>
      <c r="C2005" s="17"/>
    </row>
    <row r="2006" spans="2:3">
      <c r="B2006" s="17"/>
      <c r="C2006" s="17"/>
    </row>
    <row r="2007" spans="2:3">
      <c r="B2007" s="17"/>
      <c r="C2007" s="17"/>
    </row>
    <row r="2008" spans="2:3">
      <c r="B2008" s="17"/>
      <c r="C2008" s="17"/>
    </row>
    <row r="2009" spans="2:3">
      <c r="B2009" s="17"/>
      <c r="C2009" s="17"/>
    </row>
    <row r="2010" spans="2:3">
      <c r="B2010" s="17"/>
      <c r="C2010" s="17"/>
    </row>
    <row r="2011" spans="2:3">
      <c r="B2011" s="17"/>
      <c r="C2011" s="17"/>
    </row>
    <row r="2012" spans="2:3">
      <c r="B2012" s="17"/>
      <c r="C2012" s="17"/>
    </row>
    <row r="2013" spans="2:3">
      <c r="B2013" s="17"/>
      <c r="C2013" s="17"/>
    </row>
    <row r="2014" spans="2:3">
      <c r="B2014" s="17"/>
      <c r="C2014" s="17"/>
    </row>
    <row r="2015" spans="2:3">
      <c r="B2015" s="17"/>
      <c r="C2015" s="17"/>
    </row>
    <row r="2016" spans="2:3">
      <c r="B2016" s="17"/>
      <c r="C2016" s="17"/>
    </row>
    <row r="2017" spans="2:3">
      <c r="B2017" s="17"/>
      <c r="C2017" s="17"/>
    </row>
    <row r="2018" spans="2:3">
      <c r="B2018" s="17"/>
      <c r="C2018" s="17"/>
    </row>
    <row r="2019" spans="2:3">
      <c r="B2019" s="17"/>
      <c r="C2019" s="17"/>
    </row>
    <row r="2020" spans="2:3">
      <c r="B2020" s="17"/>
      <c r="C2020" s="17"/>
    </row>
    <row r="2021" spans="2:3">
      <c r="B2021" s="17"/>
      <c r="C2021" s="17"/>
    </row>
    <row r="2022" spans="2:3">
      <c r="B2022" s="17"/>
      <c r="C2022" s="17"/>
    </row>
    <row r="2023" spans="2:3">
      <c r="B2023" s="17"/>
      <c r="C2023" s="17"/>
    </row>
    <row r="2024" spans="2:3">
      <c r="B2024" s="17"/>
      <c r="C2024" s="17"/>
    </row>
    <row r="2025" spans="2:3">
      <c r="B2025" s="17"/>
      <c r="C2025" s="17"/>
    </row>
    <row r="2026" spans="2:3">
      <c r="B2026" s="17"/>
      <c r="C2026" s="17"/>
    </row>
    <row r="2027" spans="2:3">
      <c r="B2027" s="17"/>
      <c r="C2027" s="17"/>
    </row>
    <row r="2028" spans="2:3">
      <c r="B2028" s="17"/>
      <c r="C2028" s="17"/>
    </row>
    <row r="2029" spans="2:3">
      <c r="B2029" s="17"/>
      <c r="C2029" s="17"/>
    </row>
    <row r="2030" spans="2:3">
      <c r="B2030" s="17"/>
      <c r="C2030" s="17"/>
    </row>
    <row r="2031" spans="2:3">
      <c r="B2031" s="17"/>
      <c r="C2031" s="17"/>
    </row>
    <row r="2032" spans="2:3">
      <c r="B2032" s="17"/>
      <c r="C2032" s="17"/>
    </row>
    <row r="2033" spans="2:3">
      <c r="B2033" s="17"/>
      <c r="C2033" s="17"/>
    </row>
    <row r="2034" spans="2:3">
      <c r="B2034" s="17"/>
      <c r="C2034" s="17"/>
    </row>
    <row r="2035" spans="2:3">
      <c r="B2035" s="17"/>
      <c r="C2035" s="17"/>
    </row>
    <row r="2036" spans="2:3">
      <c r="B2036" s="17"/>
      <c r="C2036" s="17"/>
    </row>
    <row r="2037" spans="2:3">
      <c r="B2037" s="17"/>
      <c r="C2037" s="17"/>
    </row>
    <row r="2038" spans="2:3">
      <c r="B2038" s="17"/>
      <c r="C2038" s="17"/>
    </row>
    <row r="2039" spans="2:3">
      <c r="B2039" s="17"/>
      <c r="C2039" s="17"/>
    </row>
    <row r="2040" spans="2:3">
      <c r="B2040" s="17"/>
      <c r="C2040" s="17"/>
    </row>
    <row r="2041" spans="2:3">
      <c r="B2041" s="17"/>
      <c r="C2041" s="17"/>
    </row>
    <row r="2042" spans="2:3">
      <c r="B2042" s="17"/>
      <c r="C2042" s="17"/>
    </row>
    <row r="2043" spans="2:3">
      <c r="B2043" s="17"/>
      <c r="C2043" s="17"/>
    </row>
    <row r="2044" spans="2:3">
      <c r="B2044" s="17"/>
      <c r="C2044" s="17"/>
    </row>
    <row r="2045" spans="2:3">
      <c r="B2045" s="17"/>
      <c r="C2045" s="17"/>
    </row>
    <row r="2046" spans="2:3">
      <c r="B2046" s="17"/>
      <c r="C2046" s="17"/>
    </row>
    <row r="2047" spans="2:3">
      <c r="B2047" s="17"/>
      <c r="C2047" s="17"/>
    </row>
    <row r="2048" spans="2:3">
      <c r="B2048" s="17"/>
      <c r="C2048" s="17"/>
    </row>
    <row r="2049" spans="2:3">
      <c r="B2049" s="17"/>
      <c r="C2049" s="17"/>
    </row>
    <row r="2050" spans="2:3">
      <c r="B2050" s="17"/>
      <c r="C2050" s="17"/>
    </row>
    <row r="2051" spans="2:3">
      <c r="B2051" s="17"/>
      <c r="C2051" s="17"/>
    </row>
    <row r="2052" spans="2:3">
      <c r="B2052" s="17"/>
      <c r="C2052" s="17"/>
    </row>
    <row r="2053" spans="2:3">
      <c r="B2053" s="17"/>
      <c r="C2053" s="17"/>
    </row>
    <row r="2054" spans="2:3">
      <c r="B2054" s="17"/>
      <c r="C2054" s="17"/>
    </row>
    <row r="2055" spans="2:3">
      <c r="B2055" s="17"/>
      <c r="C2055" s="17"/>
    </row>
    <row r="2056" spans="2:3">
      <c r="B2056" s="17"/>
      <c r="C2056" s="17"/>
    </row>
    <row r="2057" spans="2:3">
      <c r="B2057" s="17"/>
      <c r="C2057" s="17"/>
    </row>
    <row r="2058" spans="2:3">
      <c r="B2058" s="17"/>
      <c r="C2058" s="17"/>
    </row>
    <row r="2059" spans="2:3">
      <c r="B2059" s="17"/>
      <c r="C2059" s="17"/>
    </row>
    <row r="2060" spans="2:3">
      <c r="B2060" s="17"/>
      <c r="C2060" s="17"/>
    </row>
    <row r="2061" spans="2:3">
      <c r="B2061" s="17"/>
      <c r="C2061" s="17"/>
    </row>
    <row r="2062" spans="2:3">
      <c r="B2062" s="17"/>
      <c r="C2062" s="17"/>
    </row>
    <row r="2063" spans="2:3">
      <c r="B2063" s="17"/>
      <c r="C2063" s="17"/>
    </row>
    <row r="2064" spans="2:3">
      <c r="B2064" s="17"/>
      <c r="C2064" s="17"/>
    </row>
    <row r="2065" spans="2:3">
      <c r="B2065" s="17"/>
      <c r="C2065" s="17"/>
    </row>
    <row r="2066" spans="2:3">
      <c r="B2066" s="17"/>
      <c r="C2066" s="17"/>
    </row>
    <row r="2067" spans="2:3">
      <c r="B2067" s="17"/>
      <c r="C2067" s="17"/>
    </row>
    <row r="2068" spans="2:3">
      <c r="B2068" s="17"/>
      <c r="C2068" s="17"/>
    </row>
    <row r="2069" spans="2:3">
      <c r="B2069" s="17"/>
      <c r="C2069" s="17"/>
    </row>
    <row r="2070" spans="2:3">
      <c r="B2070" s="17"/>
      <c r="C2070" s="17"/>
    </row>
    <row r="2071" spans="2:3">
      <c r="B2071" s="17"/>
      <c r="C2071" s="17"/>
    </row>
    <row r="2072" spans="2:3">
      <c r="B2072" s="17"/>
      <c r="C2072" s="17"/>
    </row>
    <row r="2073" spans="2:3">
      <c r="B2073" s="17"/>
      <c r="C2073" s="17"/>
    </row>
    <row r="2074" spans="2:3">
      <c r="B2074" s="17"/>
      <c r="C2074" s="17"/>
    </row>
    <row r="2075" spans="2:3">
      <c r="B2075" s="17"/>
      <c r="C2075" s="17"/>
    </row>
    <row r="2076" spans="2:3">
      <c r="B2076" s="17"/>
      <c r="C2076" s="17"/>
    </row>
    <row r="2077" spans="2:3">
      <c r="B2077" s="17"/>
      <c r="C2077" s="17"/>
    </row>
    <row r="2078" spans="2:3">
      <c r="B2078" s="17"/>
      <c r="C2078" s="17"/>
    </row>
    <row r="2079" spans="2:3">
      <c r="B2079" s="17"/>
      <c r="C2079" s="17"/>
    </row>
    <row r="2080" spans="2:3">
      <c r="B2080" s="17"/>
      <c r="C2080" s="17"/>
    </row>
    <row r="2081" spans="2:3">
      <c r="B2081" s="17"/>
      <c r="C2081" s="17"/>
    </row>
    <row r="2082" spans="2:3">
      <c r="B2082" s="17"/>
      <c r="C2082" s="17"/>
    </row>
    <row r="2083" spans="2:3">
      <c r="B2083" s="17"/>
      <c r="C2083" s="17"/>
    </row>
    <row r="2084" spans="2:3">
      <c r="B2084" s="17"/>
      <c r="C2084" s="17"/>
    </row>
    <row r="2085" spans="2:3">
      <c r="B2085" s="17"/>
      <c r="C2085" s="17"/>
    </row>
    <row r="2086" spans="2:3">
      <c r="B2086" s="17"/>
      <c r="C2086" s="17"/>
    </row>
    <row r="2087" spans="2:3">
      <c r="B2087" s="17"/>
      <c r="C2087" s="17"/>
    </row>
    <row r="2088" spans="2:3">
      <c r="B2088" s="17"/>
      <c r="C2088" s="17"/>
    </row>
    <row r="2089" spans="2:3">
      <c r="B2089" s="17"/>
      <c r="C2089" s="17"/>
    </row>
    <row r="2090" spans="2:3">
      <c r="B2090" s="17"/>
      <c r="C2090" s="17"/>
    </row>
    <row r="2091" spans="2:3">
      <c r="B2091" s="17"/>
      <c r="C2091" s="17"/>
    </row>
    <row r="2092" spans="2:3">
      <c r="B2092" s="17"/>
      <c r="C2092" s="17"/>
    </row>
    <row r="2093" spans="2:3">
      <c r="B2093" s="17"/>
      <c r="C2093" s="17"/>
    </row>
    <row r="2094" spans="2:3">
      <c r="B2094" s="17"/>
      <c r="C2094" s="17"/>
    </row>
    <row r="2095" spans="2:3">
      <c r="B2095" s="17"/>
      <c r="C2095" s="17"/>
    </row>
    <row r="2096" spans="2:3">
      <c r="B2096" s="17"/>
      <c r="C2096" s="17"/>
    </row>
    <row r="2097" spans="2:3">
      <c r="B2097" s="17"/>
      <c r="C2097" s="17"/>
    </row>
    <row r="2098" spans="2:3">
      <c r="B2098" s="17"/>
      <c r="C2098" s="17"/>
    </row>
    <row r="2099" spans="2:3">
      <c r="B2099" s="17"/>
      <c r="C2099" s="17"/>
    </row>
    <row r="2100" spans="2:3">
      <c r="B2100" s="17"/>
      <c r="C2100" s="17"/>
    </row>
    <row r="2101" spans="2:3">
      <c r="B2101" s="17"/>
      <c r="C2101" s="17"/>
    </row>
    <row r="2102" spans="2:3">
      <c r="B2102" s="17"/>
      <c r="C2102" s="17"/>
    </row>
    <row r="2103" spans="2:3">
      <c r="B2103" s="17"/>
      <c r="C2103" s="17"/>
    </row>
    <row r="2104" spans="2:3">
      <c r="B2104" s="17"/>
      <c r="C2104" s="17"/>
    </row>
    <row r="2105" spans="2:3">
      <c r="B2105" s="17"/>
      <c r="C2105" s="17"/>
    </row>
    <row r="2106" spans="2:3">
      <c r="B2106" s="17"/>
      <c r="C2106" s="17"/>
    </row>
    <row r="2107" spans="2:3">
      <c r="B2107" s="17"/>
      <c r="C2107" s="17"/>
    </row>
    <row r="2108" spans="2:3">
      <c r="B2108" s="17"/>
      <c r="C2108" s="17"/>
    </row>
    <row r="2109" spans="2:3">
      <c r="B2109" s="17"/>
      <c r="C2109" s="17"/>
    </row>
    <row r="2110" spans="2:3">
      <c r="B2110" s="17"/>
      <c r="C2110" s="17"/>
    </row>
    <row r="2111" spans="2:3">
      <c r="B2111" s="17"/>
      <c r="C2111" s="17"/>
    </row>
    <row r="2112" spans="2:3">
      <c r="B2112" s="17"/>
      <c r="C2112" s="17"/>
    </row>
    <row r="2113" spans="2:3">
      <c r="B2113" s="17"/>
      <c r="C2113" s="17"/>
    </row>
    <row r="2114" spans="2:3">
      <c r="B2114" s="17"/>
      <c r="C2114" s="17"/>
    </row>
    <row r="2115" spans="2:3">
      <c r="B2115" s="17"/>
      <c r="C2115" s="17"/>
    </row>
    <row r="2116" spans="2:3">
      <c r="B2116" s="17"/>
      <c r="C2116" s="17"/>
    </row>
    <row r="2117" spans="2:3">
      <c r="B2117" s="17"/>
      <c r="C2117" s="17"/>
    </row>
    <row r="2118" spans="2:3">
      <c r="B2118" s="17"/>
      <c r="C2118" s="17"/>
    </row>
    <row r="2119" spans="2:3">
      <c r="B2119" s="17"/>
      <c r="C2119" s="17"/>
    </row>
    <row r="2120" spans="2:3">
      <c r="B2120" s="17"/>
      <c r="C2120" s="17"/>
    </row>
    <row r="2121" spans="2:3">
      <c r="B2121" s="17"/>
      <c r="C2121" s="17"/>
    </row>
    <row r="2122" spans="2:3">
      <c r="B2122" s="17"/>
      <c r="C2122" s="17"/>
    </row>
    <row r="2123" spans="2:3">
      <c r="B2123" s="17"/>
      <c r="C2123" s="17"/>
    </row>
    <row r="2124" spans="2:3">
      <c r="B2124" s="17"/>
      <c r="C2124" s="17"/>
    </row>
    <row r="2125" spans="2:3">
      <c r="B2125" s="17"/>
      <c r="C2125" s="17"/>
    </row>
    <row r="2126" spans="2:3">
      <c r="B2126" s="17"/>
      <c r="C2126" s="17"/>
    </row>
    <row r="2127" spans="2:3">
      <c r="B2127" s="17"/>
      <c r="C2127" s="17"/>
    </row>
    <row r="2128" spans="2:3">
      <c r="B2128" s="17"/>
      <c r="C2128" s="17"/>
    </row>
    <row r="2129" spans="2:3">
      <c r="B2129" s="17"/>
      <c r="C2129" s="17"/>
    </row>
    <row r="2130" spans="2:3">
      <c r="B2130" s="17"/>
      <c r="C2130" s="17"/>
    </row>
    <row r="2131" spans="2:3">
      <c r="B2131" s="17"/>
      <c r="C2131" s="17"/>
    </row>
    <row r="2132" spans="2:3">
      <c r="B2132" s="17"/>
      <c r="C2132" s="17"/>
    </row>
    <row r="2133" spans="2:3">
      <c r="B2133" s="17"/>
      <c r="C2133" s="17"/>
    </row>
    <row r="2134" spans="2:3">
      <c r="B2134" s="17"/>
      <c r="C2134" s="17"/>
    </row>
    <row r="2135" spans="2:3">
      <c r="B2135" s="17"/>
      <c r="C2135" s="17"/>
    </row>
    <row r="2136" spans="2:3">
      <c r="B2136" s="17"/>
      <c r="C2136" s="17"/>
    </row>
    <row r="2137" spans="2:3">
      <c r="B2137" s="17"/>
      <c r="C2137" s="17"/>
    </row>
    <row r="2138" spans="2:3">
      <c r="B2138" s="17"/>
      <c r="C2138" s="17"/>
    </row>
    <row r="2139" spans="2:3">
      <c r="B2139" s="17"/>
      <c r="C2139" s="17"/>
    </row>
    <row r="2140" spans="2:3">
      <c r="B2140" s="17"/>
      <c r="C2140" s="17"/>
    </row>
    <row r="2141" spans="2:3">
      <c r="B2141" s="17"/>
      <c r="C2141" s="17"/>
    </row>
    <row r="2142" spans="2:3">
      <c r="B2142" s="17"/>
      <c r="C2142" s="17"/>
    </row>
    <row r="2143" spans="2:3">
      <c r="B2143" s="17"/>
      <c r="C2143" s="17"/>
    </row>
    <row r="2144" spans="2:3">
      <c r="B2144" s="17"/>
      <c r="C2144" s="17"/>
    </row>
    <row r="2145" spans="2:3">
      <c r="B2145" s="17"/>
      <c r="C2145" s="17"/>
    </row>
    <row r="2146" spans="2:3">
      <c r="B2146" s="17"/>
      <c r="C2146" s="17"/>
    </row>
    <row r="2147" spans="2:3">
      <c r="B2147" s="17"/>
      <c r="C2147" s="17"/>
    </row>
    <row r="2148" spans="2:3">
      <c r="B2148" s="17"/>
      <c r="C2148" s="17"/>
    </row>
    <row r="2149" spans="2:3">
      <c r="B2149" s="17"/>
      <c r="C2149" s="17"/>
    </row>
    <row r="2150" spans="2:3">
      <c r="B2150" s="17"/>
      <c r="C2150" s="17"/>
    </row>
    <row r="2151" spans="2:3">
      <c r="B2151" s="17"/>
      <c r="C2151" s="17"/>
    </row>
    <row r="2152" spans="2:3">
      <c r="B2152" s="17"/>
      <c r="C2152" s="17"/>
    </row>
    <row r="2153" spans="2:3">
      <c r="B2153" s="17"/>
      <c r="C2153" s="17"/>
    </row>
    <row r="2154" spans="2:3">
      <c r="B2154" s="17"/>
      <c r="C2154" s="17"/>
    </row>
    <row r="2155" spans="2:3">
      <c r="B2155" s="17"/>
      <c r="C2155" s="17"/>
    </row>
    <row r="2156" spans="2:3">
      <c r="B2156" s="17"/>
      <c r="C2156" s="17"/>
    </row>
    <row r="2157" spans="2:3">
      <c r="B2157" s="17"/>
      <c r="C2157" s="17"/>
    </row>
    <row r="2158" spans="2:3">
      <c r="B2158" s="17"/>
      <c r="C2158" s="17"/>
    </row>
    <row r="2159" spans="2:3">
      <c r="B2159" s="17"/>
      <c r="C2159" s="17"/>
    </row>
    <row r="2160" spans="2:3">
      <c r="B2160" s="17"/>
      <c r="C2160" s="17"/>
    </row>
    <row r="2161" spans="2:3">
      <c r="B2161" s="17"/>
      <c r="C2161" s="17"/>
    </row>
    <row r="2162" spans="2:3">
      <c r="B2162" s="17"/>
      <c r="C2162" s="17"/>
    </row>
    <row r="2163" spans="2:3">
      <c r="B2163" s="17"/>
      <c r="C2163" s="17"/>
    </row>
    <row r="2164" spans="2:3">
      <c r="B2164" s="17"/>
      <c r="C2164" s="17"/>
    </row>
    <row r="2165" spans="2:3">
      <c r="B2165" s="17"/>
      <c r="C2165" s="17"/>
    </row>
    <row r="2166" spans="2:3">
      <c r="B2166" s="17"/>
      <c r="C2166" s="17"/>
    </row>
    <row r="2167" spans="2:3">
      <c r="B2167" s="17"/>
      <c r="C2167" s="17"/>
    </row>
    <row r="2168" spans="2:3">
      <c r="B2168" s="17"/>
      <c r="C2168" s="17"/>
    </row>
    <row r="2169" spans="2:3">
      <c r="B2169" s="17"/>
      <c r="C2169" s="17"/>
    </row>
    <row r="2170" spans="2:3">
      <c r="B2170" s="17"/>
      <c r="C2170" s="17"/>
    </row>
    <row r="2171" spans="2:3">
      <c r="B2171" s="17"/>
      <c r="C2171" s="17"/>
    </row>
    <row r="2172" spans="2:3">
      <c r="B2172" s="17"/>
      <c r="C2172" s="17"/>
    </row>
    <row r="2173" spans="2:3">
      <c r="B2173" s="17"/>
      <c r="C2173" s="17"/>
    </row>
    <row r="2174" spans="2:3">
      <c r="B2174" s="17"/>
      <c r="C2174" s="17"/>
    </row>
    <row r="2175" spans="2:3">
      <c r="B2175" s="17"/>
      <c r="C2175" s="17"/>
    </row>
    <row r="2176" spans="2:3">
      <c r="B2176" s="17"/>
      <c r="C2176" s="17"/>
    </row>
    <row r="2177" spans="2:3">
      <c r="B2177" s="17"/>
      <c r="C2177" s="17"/>
    </row>
    <row r="2178" spans="2:3">
      <c r="B2178" s="17"/>
      <c r="C2178" s="17"/>
    </row>
    <row r="2179" spans="2:3">
      <c r="B2179" s="17"/>
      <c r="C2179" s="17"/>
    </row>
    <row r="2180" spans="2:3">
      <c r="B2180" s="17"/>
      <c r="C2180" s="17"/>
    </row>
    <row r="2181" spans="2:3">
      <c r="B2181" s="17"/>
      <c r="C2181" s="17"/>
    </row>
    <row r="2182" spans="2:3">
      <c r="B2182" s="17"/>
      <c r="C2182" s="17"/>
    </row>
    <row r="2183" spans="2:3">
      <c r="B2183" s="17"/>
      <c r="C2183" s="17"/>
    </row>
    <row r="2184" spans="2:3">
      <c r="B2184" s="17"/>
      <c r="C2184" s="17"/>
    </row>
    <row r="2185" spans="2:3">
      <c r="B2185" s="17"/>
      <c r="C2185" s="17"/>
    </row>
    <row r="2186" spans="2:3">
      <c r="B2186" s="17"/>
      <c r="C2186" s="17"/>
    </row>
    <row r="2187" spans="2:3">
      <c r="B2187" s="17"/>
      <c r="C2187" s="17"/>
    </row>
    <row r="2188" spans="2:3">
      <c r="B2188" s="17"/>
      <c r="C2188" s="17"/>
    </row>
    <row r="2189" spans="2:3">
      <c r="B2189" s="17"/>
      <c r="C2189" s="17"/>
    </row>
    <row r="2190" spans="2:3">
      <c r="B2190" s="17"/>
      <c r="C2190" s="17"/>
    </row>
    <row r="2191" spans="2:3">
      <c r="B2191" s="17"/>
      <c r="C2191" s="17"/>
    </row>
    <row r="2192" spans="2:3">
      <c r="B2192" s="17"/>
      <c r="C2192" s="17"/>
    </row>
    <row r="2193" spans="2:3">
      <c r="B2193" s="17"/>
      <c r="C2193" s="17"/>
    </row>
    <row r="2194" spans="2:3">
      <c r="B2194" s="17"/>
      <c r="C2194" s="17"/>
    </row>
    <row r="2195" spans="2:3">
      <c r="B2195" s="17"/>
      <c r="C2195" s="17"/>
    </row>
    <row r="2196" spans="2:3">
      <c r="B2196" s="17"/>
      <c r="C2196" s="17"/>
    </row>
    <row r="2197" spans="2:3">
      <c r="B2197" s="17"/>
      <c r="C2197" s="17"/>
    </row>
    <row r="2198" spans="2:3">
      <c r="B2198" s="17"/>
      <c r="C2198" s="17"/>
    </row>
    <row r="2199" spans="2:3">
      <c r="B2199" s="17"/>
      <c r="C2199" s="17"/>
    </row>
    <row r="2200" spans="2:3">
      <c r="B2200" s="17"/>
      <c r="C2200" s="17"/>
    </row>
    <row r="2201" spans="2:3">
      <c r="B2201" s="17"/>
      <c r="C2201" s="17"/>
    </row>
    <row r="2202" spans="2:3">
      <c r="B2202" s="17"/>
      <c r="C2202" s="17"/>
    </row>
    <row r="2203" spans="2:3">
      <c r="B2203" s="17"/>
      <c r="C2203" s="17"/>
    </row>
    <row r="2204" spans="2:3">
      <c r="B2204" s="17"/>
      <c r="C2204" s="17"/>
    </row>
    <row r="2205" spans="2:3">
      <c r="B2205" s="17"/>
      <c r="C2205" s="17"/>
    </row>
    <row r="2206" spans="2:3">
      <c r="B2206" s="17"/>
      <c r="C2206" s="17"/>
    </row>
    <row r="2207" spans="2:3">
      <c r="B2207" s="17"/>
      <c r="C2207" s="17"/>
    </row>
    <row r="2208" spans="2:3">
      <c r="B2208" s="17"/>
      <c r="C2208" s="17"/>
    </row>
    <row r="2209" spans="2:3">
      <c r="B2209" s="17"/>
      <c r="C2209" s="17"/>
    </row>
    <row r="2210" spans="2:3">
      <c r="B2210" s="17"/>
      <c r="C2210" s="17"/>
    </row>
    <row r="2211" spans="2:3">
      <c r="B2211" s="17"/>
      <c r="C2211" s="17"/>
    </row>
    <row r="2212" spans="2:3">
      <c r="B2212" s="17"/>
      <c r="C2212" s="17"/>
    </row>
    <row r="2213" spans="2:3">
      <c r="B2213" s="17"/>
      <c r="C2213" s="17"/>
    </row>
    <row r="2214" spans="2:3">
      <c r="B2214" s="17"/>
      <c r="C2214" s="17"/>
    </row>
    <row r="2215" spans="2:3">
      <c r="B2215" s="17"/>
      <c r="C2215" s="17"/>
    </row>
    <row r="2216" spans="2:3">
      <c r="B2216" s="17"/>
      <c r="C2216" s="17"/>
    </row>
    <row r="2217" spans="2:3">
      <c r="B2217" s="17"/>
      <c r="C2217" s="17"/>
    </row>
    <row r="2218" spans="2:3">
      <c r="B2218" s="17"/>
      <c r="C2218" s="17"/>
    </row>
    <row r="2219" spans="2:3">
      <c r="B2219" s="17"/>
      <c r="C2219" s="17"/>
    </row>
    <row r="2220" spans="2:3">
      <c r="B2220" s="17"/>
      <c r="C2220" s="17"/>
    </row>
    <row r="2221" spans="2:3">
      <c r="B2221" s="17"/>
      <c r="C2221" s="17"/>
    </row>
    <row r="2222" spans="2:3">
      <c r="B2222" s="17"/>
      <c r="C2222" s="17"/>
    </row>
    <row r="2223" spans="2:3">
      <c r="B2223" s="17"/>
      <c r="C2223" s="17"/>
    </row>
    <row r="2224" spans="2:3">
      <c r="B2224" s="17"/>
      <c r="C2224" s="17"/>
    </row>
    <row r="2225" spans="2:3">
      <c r="B2225" s="17"/>
      <c r="C2225" s="17"/>
    </row>
    <row r="2226" spans="2:3">
      <c r="B2226" s="17"/>
      <c r="C2226" s="17"/>
    </row>
    <row r="2227" spans="2:3">
      <c r="B2227" s="17"/>
      <c r="C2227" s="17"/>
    </row>
    <row r="2228" spans="2:3">
      <c r="B2228" s="17"/>
      <c r="C2228" s="17"/>
    </row>
    <row r="2229" spans="2:3">
      <c r="B2229" s="17"/>
      <c r="C2229" s="17"/>
    </row>
    <row r="2230" spans="2:3">
      <c r="B2230" s="17"/>
      <c r="C2230" s="17"/>
    </row>
    <row r="2231" spans="2:3">
      <c r="B2231" s="17"/>
      <c r="C2231" s="17"/>
    </row>
    <row r="2232" spans="2:3">
      <c r="B2232" s="17"/>
      <c r="C2232" s="17"/>
    </row>
    <row r="2233" spans="2:3">
      <c r="B2233" s="17"/>
      <c r="C2233" s="17"/>
    </row>
    <row r="2234" spans="2:3">
      <c r="B2234" s="17"/>
      <c r="C2234" s="17"/>
    </row>
    <row r="2235" spans="2:3">
      <c r="B2235" s="17"/>
      <c r="C2235" s="17"/>
    </row>
    <row r="2236" spans="2:3">
      <c r="B2236" s="17"/>
      <c r="C2236" s="17"/>
    </row>
    <row r="2237" spans="2:3">
      <c r="B2237" s="17"/>
      <c r="C2237" s="17"/>
    </row>
    <row r="2238" spans="2:3">
      <c r="B2238" s="17"/>
      <c r="C2238" s="17"/>
    </row>
    <row r="2239" spans="2:3">
      <c r="B2239" s="17"/>
      <c r="C2239" s="17"/>
    </row>
    <row r="2240" spans="2:3">
      <c r="B2240" s="17"/>
      <c r="C2240" s="17"/>
    </row>
    <row r="2241" spans="2:3">
      <c r="B2241" s="17"/>
      <c r="C2241" s="17"/>
    </row>
    <row r="2242" spans="2:3">
      <c r="B2242" s="17"/>
      <c r="C2242" s="17"/>
    </row>
    <row r="2243" spans="2:3">
      <c r="B2243" s="17"/>
      <c r="C2243" s="17"/>
    </row>
    <row r="2244" spans="2:3">
      <c r="B2244" s="17"/>
      <c r="C2244" s="17"/>
    </row>
    <row r="2245" spans="2:3">
      <c r="B2245" s="17"/>
      <c r="C2245" s="17"/>
    </row>
    <row r="2246" spans="2:3">
      <c r="B2246" s="17"/>
      <c r="C2246" s="17"/>
    </row>
    <row r="2247" spans="2:3">
      <c r="B2247" s="17"/>
      <c r="C2247" s="17"/>
    </row>
    <row r="2248" spans="2:3">
      <c r="B2248" s="17"/>
      <c r="C2248" s="17"/>
    </row>
    <row r="2249" spans="2:3">
      <c r="B2249" s="17"/>
      <c r="C2249" s="17"/>
    </row>
    <row r="2250" spans="2:3">
      <c r="B2250" s="17"/>
      <c r="C2250" s="17"/>
    </row>
    <row r="2251" spans="2:3">
      <c r="B2251" s="17"/>
      <c r="C2251" s="17"/>
    </row>
    <row r="2252" spans="2:3">
      <c r="B2252" s="17"/>
      <c r="C2252" s="17"/>
    </row>
    <row r="2253" spans="2:3">
      <c r="B2253" s="17"/>
      <c r="C2253" s="17"/>
    </row>
    <row r="2254" spans="2:3">
      <c r="B2254" s="17"/>
      <c r="C2254" s="17"/>
    </row>
    <row r="2255" spans="2:3">
      <c r="B2255" s="17"/>
      <c r="C2255" s="17"/>
    </row>
    <row r="2256" spans="2:3">
      <c r="B2256" s="17"/>
      <c r="C2256" s="17"/>
    </row>
    <row r="2257" spans="2:3">
      <c r="B2257" s="17"/>
      <c r="C2257" s="17"/>
    </row>
    <row r="2258" spans="2:3">
      <c r="B2258" s="17"/>
      <c r="C2258" s="17"/>
    </row>
    <row r="2259" spans="2:3">
      <c r="B2259" s="17"/>
      <c r="C2259" s="17"/>
    </row>
    <row r="2260" spans="2:3">
      <c r="B2260" s="17"/>
      <c r="C2260" s="17"/>
    </row>
    <row r="2261" spans="2:3">
      <c r="B2261" s="17"/>
      <c r="C2261" s="17"/>
    </row>
    <row r="2262" spans="2:3">
      <c r="B2262" s="17"/>
      <c r="C2262" s="17"/>
    </row>
    <row r="2263" spans="2:3">
      <c r="B2263" s="17"/>
      <c r="C2263" s="17"/>
    </row>
    <row r="2264" spans="2:3">
      <c r="B2264" s="17"/>
      <c r="C2264" s="17"/>
    </row>
    <row r="2265" spans="2:3">
      <c r="B2265" s="17"/>
      <c r="C2265" s="17"/>
    </row>
    <row r="2266" spans="2:3">
      <c r="B2266" s="17"/>
      <c r="C2266" s="17"/>
    </row>
    <row r="2267" spans="2:3">
      <c r="B2267" s="17"/>
      <c r="C2267" s="17"/>
    </row>
    <row r="2268" spans="2:3">
      <c r="B2268" s="17"/>
      <c r="C2268" s="17"/>
    </row>
    <row r="2269" spans="2:3">
      <c r="B2269" s="17"/>
      <c r="C2269" s="17"/>
    </row>
    <row r="2270" spans="2:3">
      <c r="B2270" s="17"/>
      <c r="C2270" s="17"/>
    </row>
    <row r="2271" spans="2:3">
      <c r="B2271" s="17"/>
      <c r="C2271" s="17"/>
    </row>
    <row r="2272" spans="2:3">
      <c r="B2272" s="17"/>
      <c r="C2272" s="17"/>
    </row>
    <row r="2273" spans="2:3">
      <c r="B2273" s="17"/>
      <c r="C2273" s="17"/>
    </row>
    <row r="2274" spans="2:3">
      <c r="B2274" s="17"/>
      <c r="C2274" s="17"/>
    </row>
    <row r="2275" spans="2:3">
      <c r="B2275" s="17"/>
      <c r="C2275" s="17"/>
    </row>
    <row r="2276" spans="2:3">
      <c r="B2276" s="17"/>
      <c r="C2276" s="17"/>
    </row>
    <row r="2277" spans="2:3">
      <c r="B2277" s="17"/>
      <c r="C2277" s="17"/>
    </row>
    <row r="2278" spans="2:3">
      <c r="B2278" s="17"/>
      <c r="C2278" s="17"/>
    </row>
    <row r="2279" spans="2:3">
      <c r="B2279" s="17"/>
      <c r="C2279" s="17"/>
    </row>
    <row r="2280" spans="2:3">
      <c r="B2280" s="17"/>
      <c r="C2280" s="17"/>
    </row>
    <row r="2281" spans="2:3">
      <c r="B2281" s="17"/>
      <c r="C2281" s="17"/>
    </row>
    <row r="2282" spans="2:3">
      <c r="B2282" s="17"/>
      <c r="C2282" s="17"/>
    </row>
    <row r="2283" spans="2:3">
      <c r="B2283" s="17"/>
      <c r="C2283" s="17"/>
    </row>
    <row r="2284" spans="2:3">
      <c r="B2284" s="17"/>
      <c r="C2284" s="17"/>
    </row>
    <row r="2285" spans="2:3">
      <c r="B2285" s="17"/>
      <c r="C2285" s="17"/>
    </row>
    <row r="2286" spans="2:3">
      <c r="B2286" s="17"/>
      <c r="C2286" s="17"/>
    </row>
    <row r="2287" spans="2:3">
      <c r="B2287" s="17"/>
      <c r="C2287" s="17"/>
    </row>
    <row r="2288" spans="2:3">
      <c r="B2288" s="17"/>
      <c r="C2288" s="17"/>
    </row>
    <row r="2289" spans="2:3">
      <c r="B2289" s="17"/>
      <c r="C2289" s="17"/>
    </row>
    <row r="2290" spans="2:3">
      <c r="B2290" s="17"/>
      <c r="C2290" s="17"/>
    </row>
    <row r="2291" spans="2:3">
      <c r="B2291" s="17"/>
      <c r="C2291" s="17"/>
    </row>
    <row r="2292" spans="2:3">
      <c r="B2292" s="17"/>
      <c r="C2292" s="17"/>
    </row>
    <row r="2293" spans="2:3">
      <c r="B2293" s="17"/>
      <c r="C2293" s="17"/>
    </row>
    <row r="2294" spans="2:3">
      <c r="B2294" s="17"/>
      <c r="C2294" s="17"/>
    </row>
    <row r="2295" spans="2:3">
      <c r="B2295" s="17"/>
      <c r="C2295" s="17"/>
    </row>
    <row r="2296" spans="2:3">
      <c r="B2296" s="17"/>
      <c r="C2296" s="17"/>
    </row>
    <row r="2297" spans="2:3">
      <c r="B2297" s="17"/>
      <c r="C2297" s="17"/>
    </row>
    <row r="2298" spans="2:3">
      <c r="B2298" s="17"/>
      <c r="C2298" s="17"/>
    </row>
    <row r="2299" spans="2:3">
      <c r="B2299" s="17"/>
      <c r="C2299" s="17"/>
    </row>
    <row r="2300" spans="2:3">
      <c r="B2300" s="17"/>
      <c r="C2300" s="17"/>
    </row>
    <row r="2301" spans="2:3">
      <c r="B2301" s="17"/>
      <c r="C2301" s="17"/>
    </row>
    <row r="2302" spans="2:3">
      <c r="B2302" s="17"/>
      <c r="C2302" s="17"/>
    </row>
    <row r="2303" spans="2:3">
      <c r="B2303" s="17"/>
      <c r="C2303" s="17"/>
    </row>
    <row r="2304" spans="2:3">
      <c r="B2304" s="17"/>
      <c r="C2304" s="17"/>
    </row>
    <row r="2305" spans="2:3">
      <c r="B2305" s="17"/>
      <c r="C2305" s="17"/>
    </row>
    <row r="2306" spans="2:3">
      <c r="B2306" s="17"/>
      <c r="C2306" s="17"/>
    </row>
    <row r="2307" spans="2:3">
      <c r="B2307" s="17"/>
      <c r="C2307" s="17"/>
    </row>
    <row r="2308" spans="2:3">
      <c r="B2308" s="17"/>
      <c r="C2308" s="17"/>
    </row>
    <row r="2309" spans="2:3">
      <c r="B2309" s="17"/>
      <c r="C2309" s="17"/>
    </row>
    <row r="2310" spans="2:3">
      <c r="B2310" s="17"/>
      <c r="C2310" s="17"/>
    </row>
    <row r="2311" spans="2:3">
      <c r="B2311" s="17"/>
      <c r="C2311" s="17"/>
    </row>
    <row r="2312" spans="2:3">
      <c r="B2312" s="17"/>
      <c r="C2312" s="17"/>
    </row>
    <row r="2313" spans="2:3">
      <c r="B2313" s="17"/>
      <c r="C2313" s="17"/>
    </row>
    <row r="2314" spans="2:3">
      <c r="B2314" s="17"/>
      <c r="C2314" s="17"/>
    </row>
    <row r="2315" spans="2:3">
      <c r="B2315" s="17"/>
      <c r="C2315" s="17"/>
    </row>
    <row r="2316" spans="2:3">
      <c r="B2316" s="17"/>
      <c r="C2316" s="17"/>
    </row>
    <row r="2317" spans="2:3">
      <c r="B2317" s="17"/>
      <c r="C2317" s="17"/>
    </row>
    <row r="2318" spans="2:3">
      <c r="B2318" s="17"/>
      <c r="C2318" s="17"/>
    </row>
    <row r="2319" spans="2:3">
      <c r="B2319" s="17"/>
      <c r="C2319" s="17"/>
    </row>
    <row r="2320" spans="2:3">
      <c r="B2320" s="17"/>
      <c r="C2320" s="17"/>
    </row>
    <row r="2321" spans="2:3">
      <c r="B2321" s="17"/>
      <c r="C2321" s="17"/>
    </row>
    <row r="2322" spans="2:3">
      <c r="B2322" s="17"/>
      <c r="C2322" s="17"/>
    </row>
    <row r="2323" spans="2:3">
      <c r="B2323" s="17"/>
      <c r="C2323" s="17"/>
    </row>
    <row r="2324" spans="2:3">
      <c r="B2324" s="17"/>
      <c r="C2324" s="17"/>
    </row>
    <row r="2325" spans="2:3">
      <c r="B2325" s="17"/>
      <c r="C2325" s="17"/>
    </row>
    <row r="2326" spans="2:3">
      <c r="B2326" s="17"/>
      <c r="C2326" s="17"/>
    </row>
    <row r="2327" spans="2:3">
      <c r="B2327" s="17"/>
      <c r="C2327" s="17"/>
    </row>
    <row r="2328" spans="2:3">
      <c r="B2328" s="17"/>
      <c r="C2328" s="17"/>
    </row>
    <row r="2329" spans="2:3">
      <c r="B2329" s="17"/>
      <c r="C2329" s="17"/>
    </row>
    <row r="2330" spans="2:3">
      <c r="B2330" s="17"/>
      <c r="C2330" s="17"/>
    </row>
    <row r="2331" spans="2:3">
      <c r="B2331" s="17"/>
      <c r="C2331" s="17"/>
    </row>
    <row r="2332" spans="2:3">
      <c r="B2332" s="17"/>
      <c r="C2332" s="17"/>
    </row>
    <row r="2333" spans="2:3">
      <c r="B2333" s="17"/>
      <c r="C2333" s="17"/>
    </row>
    <row r="2334" spans="2:3">
      <c r="B2334" s="17"/>
      <c r="C2334" s="17"/>
    </row>
    <row r="2335" spans="2:3">
      <c r="B2335" s="17"/>
      <c r="C2335" s="17"/>
    </row>
    <row r="2336" spans="2:3">
      <c r="B2336" s="17"/>
      <c r="C2336" s="17"/>
    </row>
    <row r="2337" spans="2:3">
      <c r="B2337" s="17"/>
      <c r="C2337" s="17"/>
    </row>
    <row r="2338" spans="2:3">
      <c r="B2338" s="17"/>
      <c r="C2338" s="17"/>
    </row>
    <row r="2339" spans="2:3">
      <c r="B2339" s="17"/>
      <c r="C2339" s="17"/>
    </row>
    <row r="2340" spans="2:3">
      <c r="B2340" s="17"/>
      <c r="C2340" s="17"/>
    </row>
    <row r="2341" spans="2:3">
      <c r="B2341" s="17"/>
      <c r="C2341" s="17"/>
    </row>
    <row r="2342" spans="2:3">
      <c r="B2342" s="17"/>
      <c r="C2342" s="17"/>
    </row>
    <row r="2343" spans="2:3">
      <c r="B2343" s="17"/>
      <c r="C2343" s="17"/>
    </row>
    <row r="2344" spans="2:3">
      <c r="B2344" s="17"/>
      <c r="C2344" s="17"/>
    </row>
    <row r="2345" spans="2:3">
      <c r="B2345" s="17"/>
      <c r="C2345" s="17"/>
    </row>
    <row r="2346" spans="2:3">
      <c r="B2346" s="17"/>
      <c r="C2346" s="17"/>
    </row>
    <row r="2347" spans="2:3">
      <c r="B2347" s="17"/>
      <c r="C2347" s="17"/>
    </row>
    <row r="2348" spans="2:3">
      <c r="B2348" s="17"/>
      <c r="C2348" s="17"/>
    </row>
    <row r="2349" spans="2:3">
      <c r="B2349" s="17"/>
      <c r="C2349" s="17"/>
    </row>
    <row r="2350" spans="2:3">
      <c r="B2350" s="17"/>
      <c r="C2350" s="17"/>
    </row>
    <row r="2351" spans="2:3">
      <c r="B2351" s="17"/>
      <c r="C2351" s="17"/>
    </row>
    <row r="2352" spans="2:3">
      <c r="B2352" s="17"/>
      <c r="C2352" s="17"/>
    </row>
    <row r="2353" spans="2:3">
      <c r="B2353" s="17"/>
      <c r="C2353" s="17"/>
    </row>
    <row r="2354" spans="2:3">
      <c r="B2354" s="17"/>
      <c r="C2354" s="17"/>
    </row>
    <row r="2355" spans="2:3">
      <c r="B2355" s="17"/>
      <c r="C2355" s="17"/>
    </row>
    <row r="2356" spans="2:3">
      <c r="B2356" s="17"/>
      <c r="C2356" s="17"/>
    </row>
    <row r="2357" spans="2:3">
      <c r="B2357" s="17"/>
      <c r="C2357" s="17"/>
    </row>
    <row r="2358" spans="2:3">
      <c r="B2358" s="17"/>
      <c r="C2358" s="17"/>
    </row>
    <row r="2359" spans="2:3">
      <c r="B2359" s="17"/>
      <c r="C2359" s="17"/>
    </row>
    <row r="2360" spans="2:3">
      <c r="B2360" s="17"/>
      <c r="C2360" s="17"/>
    </row>
    <row r="2361" spans="2:3">
      <c r="B2361" s="17"/>
      <c r="C2361" s="17"/>
    </row>
    <row r="2362" spans="2:3">
      <c r="B2362" s="17"/>
      <c r="C2362" s="17"/>
    </row>
    <row r="2363" spans="2:3">
      <c r="B2363" s="17"/>
      <c r="C2363" s="17"/>
    </row>
    <row r="2364" spans="2:3">
      <c r="B2364" s="17"/>
      <c r="C2364" s="17"/>
    </row>
    <row r="2365" spans="2:3">
      <c r="B2365" s="17"/>
      <c r="C2365" s="17"/>
    </row>
    <row r="2366" spans="2:3">
      <c r="B2366" s="17"/>
      <c r="C2366" s="17"/>
    </row>
    <row r="2367" spans="2:3">
      <c r="B2367" s="17"/>
      <c r="C2367" s="17"/>
    </row>
    <row r="2368" spans="2:3">
      <c r="B2368" s="17"/>
      <c r="C2368" s="17"/>
    </row>
    <row r="2369" spans="2:3">
      <c r="B2369" s="17"/>
      <c r="C2369" s="17"/>
    </row>
    <row r="2370" spans="2:3">
      <c r="B2370" s="17"/>
      <c r="C2370" s="17"/>
    </row>
    <row r="2371" spans="2:3">
      <c r="B2371" s="17"/>
      <c r="C2371" s="17"/>
    </row>
    <row r="2372" spans="2:3">
      <c r="B2372" s="17"/>
      <c r="C2372" s="17"/>
    </row>
    <row r="2373" spans="2:3">
      <c r="B2373" s="17"/>
      <c r="C2373" s="17"/>
    </row>
    <row r="2374" spans="2:3">
      <c r="B2374" s="17"/>
      <c r="C2374" s="17"/>
    </row>
    <row r="2375" spans="2:3">
      <c r="B2375" s="17"/>
      <c r="C2375" s="17"/>
    </row>
    <row r="2376" spans="2:3">
      <c r="B2376" s="17"/>
      <c r="C2376" s="17"/>
    </row>
    <row r="2377" spans="2:3">
      <c r="B2377" s="17"/>
      <c r="C2377" s="17"/>
    </row>
    <row r="2378" spans="2:3">
      <c r="B2378" s="17"/>
      <c r="C2378" s="17"/>
    </row>
    <row r="2379" spans="2:3">
      <c r="B2379" s="17"/>
      <c r="C2379" s="17"/>
    </row>
    <row r="2380" spans="2:3">
      <c r="B2380" s="17"/>
      <c r="C2380" s="17"/>
    </row>
    <row r="2381" spans="2:3">
      <c r="B2381" s="17"/>
      <c r="C2381" s="17"/>
    </row>
    <row r="2382" spans="2:3">
      <c r="B2382" s="17"/>
      <c r="C2382" s="17"/>
    </row>
    <row r="2383" spans="2:3">
      <c r="B2383" s="17"/>
      <c r="C2383" s="17"/>
    </row>
    <row r="2384" spans="2:3">
      <c r="B2384" s="17"/>
      <c r="C2384" s="17"/>
    </row>
    <row r="2385" spans="2:3">
      <c r="B2385" s="17"/>
      <c r="C2385" s="17"/>
    </row>
    <row r="2386" spans="2:3">
      <c r="B2386" s="17"/>
      <c r="C2386" s="17"/>
    </row>
    <row r="2387" spans="2:3">
      <c r="B2387" s="17"/>
      <c r="C2387" s="17"/>
    </row>
    <row r="2388" spans="2:3">
      <c r="B2388" s="17"/>
      <c r="C2388" s="17"/>
    </row>
    <row r="2389" spans="2:3">
      <c r="B2389" s="17"/>
      <c r="C2389" s="17"/>
    </row>
    <row r="2390" spans="2:3">
      <c r="B2390" s="17"/>
      <c r="C2390" s="17"/>
    </row>
    <row r="2391" spans="2:3">
      <c r="B2391" s="17"/>
      <c r="C2391" s="17"/>
    </row>
    <row r="2392" spans="2:3">
      <c r="B2392" s="17"/>
      <c r="C2392" s="17"/>
    </row>
    <row r="2393" spans="2:3">
      <c r="B2393" s="17"/>
      <c r="C2393" s="17"/>
    </row>
    <row r="2394" spans="2:3">
      <c r="B2394" s="17"/>
      <c r="C2394" s="17"/>
    </row>
    <row r="2395" spans="2:3">
      <c r="B2395" s="17"/>
      <c r="C2395" s="17"/>
    </row>
    <row r="2396" spans="2:3">
      <c r="B2396" s="17"/>
      <c r="C2396" s="17"/>
    </row>
    <row r="2397" spans="2:3">
      <c r="B2397" s="17"/>
      <c r="C2397" s="17"/>
    </row>
    <row r="2398" spans="2:3">
      <c r="B2398" s="17"/>
      <c r="C2398" s="17"/>
    </row>
    <row r="2399" spans="2:3">
      <c r="B2399" s="17"/>
      <c r="C2399" s="17"/>
    </row>
    <row r="2400" spans="2:3">
      <c r="B2400" s="17"/>
      <c r="C2400" s="17"/>
    </row>
    <row r="2401" spans="2:3">
      <c r="B2401" s="17"/>
      <c r="C2401" s="17"/>
    </row>
    <row r="2402" spans="2:3">
      <c r="B2402" s="17"/>
      <c r="C2402" s="17"/>
    </row>
    <row r="2403" spans="2:3">
      <c r="B2403" s="17"/>
      <c r="C2403" s="17"/>
    </row>
    <row r="2404" spans="2:3">
      <c r="B2404" s="17"/>
      <c r="C2404" s="17"/>
    </row>
    <row r="2405" spans="2:3">
      <c r="B2405" s="17"/>
      <c r="C2405" s="17"/>
    </row>
    <row r="2406" spans="2:3">
      <c r="B2406" s="17"/>
      <c r="C2406" s="17"/>
    </row>
    <row r="2407" spans="2:3">
      <c r="B2407" s="17"/>
      <c r="C2407" s="17"/>
    </row>
    <row r="2408" spans="2:3">
      <c r="B2408" s="17"/>
      <c r="C2408" s="17"/>
    </row>
    <row r="2409" spans="2:3">
      <c r="B2409" s="17"/>
      <c r="C2409" s="17"/>
    </row>
    <row r="2410" spans="2:3">
      <c r="B2410" s="17"/>
      <c r="C2410" s="17"/>
    </row>
    <row r="2411" spans="2:3">
      <c r="B2411" s="17"/>
      <c r="C2411" s="17"/>
    </row>
    <row r="2412" spans="2:3">
      <c r="B2412" s="17"/>
      <c r="C2412" s="17"/>
    </row>
    <row r="2413" spans="2:3">
      <c r="B2413" s="17"/>
      <c r="C2413" s="17"/>
    </row>
    <row r="2414" spans="2:3">
      <c r="B2414" s="17"/>
      <c r="C2414" s="17"/>
    </row>
    <row r="2415" spans="2:3">
      <c r="B2415" s="17"/>
      <c r="C2415" s="17"/>
    </row>
    <row r="2416" spans="2:3">
      <c r="B2416" s="17"/>
      <c r="C2416" s="17"/>
    </row>
    <row r="2417" spans="2:3">
      <c r="B2417" s="17"/>
      <c r="C2417" s="17"/>
    </row>
    <row r="2418" spans="2:3">
      <c r="B2418" s="17"/>
      <c r="C2418" s="17"/>
    </row>
    <row r="2419" spans="2:3">
      <c r="B2419" s="17"/>
      <c r="C2419" s="17"/>
    </row>
    <row r="2420" spans="2:3">
      <c r="B2420" s="17"/>
      <c r="C2420" s="17"/>
    </row>
    <row r="2421" spans="2:3">
      <c r="B2421" s="17"/>
      <c r="C2421" s="17"/>
    </row>
    <row r="2422" spans="2:3">
      <c r="B2422" s="17"/>
      <c r="C2422" s="17"/>
    </row>
    <row r="2423" spans="2:3">
      <c r="B2423" s="17"/>
      <c r="C2423" s="17"/>
    </row>
    <row r="2424" spans="2:3">
      <c r="B2424" s="17"/>
      <c r="C2424" s="17"/>
    </row>
    <row r="2425" spans="2:3">
      <c r="B2425" s="17"/>
      <c r="C2425" s="17"/>
    </row>
    <row r="2426" spans="2:3">
      <c r="B2426" s="17"/>
      <c r="C2426" s="17"/>
    </row>
    <row r="2427" spans="2:3">
      <c r="B2427" s="17"/>
      <c r="C2427" s="17"/>
    </row>
    <row r="2428" spans="2:3">
      <c r="B2428" s="17"/>
      <c r="C2428" s="17"/>
    </row>
    <row r="2429" spans="2:3">
      <c r="B2429" s="17"/>
      <c r="C2429" s="17"/>
    </row>
    <row r="2430" spans="2:3">
      <c r="B2430" s="17"/>
      <c r="C2430" s="17"/>
    </row>
    <row r="2431" spans="2:3">
      <c r="B2431" s="17"/>
      <c r="C2431" s="17"/>
    </row>
    <row r="2432" spans="2:3">
      <c r="B2432" s="17"/>
      <c r="C2432" s="17"/>
    </row>
    <row r="2433" spans="2:3">
      <c r="B2433" s="17"/>
      <c r="C2433" s="17"/>
    </row>
    <row r="2434" spans="2:3">
      <c r="B2434" s="17"/>
      <c r="C2434" s="17"/>
    </row>
    <row r="2435" spans="2:3">
      <c r="B2435" s="17"/>
      <c r="C2435" s="17"/>
    </row>
    <row r="2436" spans="2:3">
      <c r="B2436" s="17"/>
      <c r="C2436" s="17"/>
    </row>
    <row r="2437" spans="2:3">
      <c r="B2437" s="17"/>
      <c r="C2437" s="17"/>
    </row>
    <row r="2438" spans="2:3">
      <c r="B2438" s="17"/>
      <c r="C2438" s="17"/>
    </row>
    <row r="2439" spans="2:3">
      <c r="B2439" s="17"/>
      <c r="C2439" s="17"/>
    </row>
    <row r="2440" spans="2:3">
      <c r="B2440" s="17"/>
      <c r="C2440" s="17"/>
    </row>
    <row r="2441" spans="2:3">
      <c r="B2441" s="17"/>
      <c r="C2441" s="17"/>
    </row>
    <row r="2442" spans="2:3">
      <c r="B2442" s="17"/>
      <c r="C2442" s="17"/>
    </row>
    <row r="2443" spans="2:3">
      <c r="B2443" s="17"/>
      <c r="C2443" s="17"/>
    </row>
    <row r="2444" spans="2:3">
      <c r="B2444" s="17"/>
      <c r="C2444" s="17"/>
    </row>
    <row r="2445" spans="2:3">
      <c r="B2445" s="17"/>
      <c r="C2445" s="17"/>
    </row>
    <row r="2446" spans="2:3">
      <c r="B2446" s="17"/>
      <c r="C2446" s="17"/>
    </row>
    <row r="2447" spans="2:3">
      <c r="B2447" s="17"/>
      <c r="C2447" s="17"/>
    </row>
    <row r="2448" spans="2:3">
      <c r="B2448" s="17"/>
      <c r="C2448" s="17"/>
    </row>
    <row r="2449" spans="2:3">
      <c r="B2449" s="17"/>
      <c r="C2449" s="17"/>
    </row>
    <row r="2450" spans="2:3">
      <c r="B2450" s="17"/>
      <c r="C2450" s="17"/>
    </row>
    <row r="2451" spans="2:3">
      <c r="B2451" s="17"/>
      <c r="C2451" s="17"/>
    </row>
    <row r="2452" spans="2:3">
      <c r="B2452" s="17"/>
      <c r="C2452" s="17"/>
    </row>
    <row r="2453" spans="2:3">
      <c r="B2453" s="17"/>
      <c r="C2453" s="17"/>
    </row>
    <row r="2454" spans="2:3">
      <c r="B2454" s="17"/>
      <c r="C2454" s="17"/>
    </row>
    <row r="2455" spans="2:3">
      <c r="B2455" s="17"/>
      <c r="C2455" s="17"/>
    </row>
    <row r="2456" spans="2:3">
      <c r="B2456" s="17"/>
      <c r="C2456" s="17"/>
    </row>
    <row r="2457" spans="2:3">
      <c r="B2457" s="17"/>
      <c r="C2457" s="17"/>
    </row>
    <row r="2458" spans="2:3">
      <c r="B2458" s="17"/>
      <c r="C2458" s="17"/>
    </row>
    <row r="2459" spans="2:3">
      <c r="B2459" s="17"/>
      <c r="C2459" s="17"/>
    </row>
    <row r="2460" spans="2:3">
      <c r="B2460" s="17"/>
      <c r="C2460" s="17"/>
    </row>
    <row r="2461" spans="2:3">
      <c r="B2461" s="17"/>
      <c r="C2461" s="17"/>
    </row>
    <row r="2462" spans="2:3">
      <c r="B2462" s="17"/>
      <c r="C2462" s="17"/>
    </row>
    <row r="2463" spans="2:3">
      <c r="B2463" s="17"/>
      <c r="C2463" s="17"/>
    </row>
    <row r="2464" spans="2:3">
      <c r="B2464" s="17"/>
      <c r="C2464" s="17"/>
    </row>
    <row r="2465" spans="2:3">
      <c r="B2465" s="17"/>
      <c r="C2465" s="17"/>
    </row>
    <row r="2466" spans="2:3">
      <c r="B2466" s="17"/>
      <c r="C2466" s="17"/>
    </row>
    <row r="2467" spans="2:3">
      <c r="B2467" s="17"/>
      <c r="C2467" s="17"/>
    </row>
    <row r="2468" spans="2:3">
      <c r="B2468" s="17"/>
      <c r="C2468" s="17"/>
    </row>
    <row r="2469" spans="2:3">
      <c r="B2469" s="17"/>
      <c r="C2469" s="17"/>
    </row>
    <row r="2470" spans="2:3">
      <c r="B2470" s="17"/>
      <c r="C2470" s="17"/>
    </row>
    <row r="2471" spans="2:3">
      <c r="B2471" s="17"/>
      <c r="C2471" s="17"/>
    </row>
    <row r="2472" spans="2:3">
      <c r="B2472" s="17"/>
      <c r="C2472" s="17"/>
    </row>
    <row r="2473" spans="2:3">
      <c r="B2473" s="17"/>
      <c r="C2473" s="17"/>
    </row>
    <row r="2474" spans="2:3">
      <c r="B2474" s="17"/>
      <c r="C2474" s="17"/>
    </row>
    <row r="2475" spans="2:3">
      <c r="B2475" s="17"/>
      <c r="C2475" s="17"/>
    </row>
    <row r="2476" spans="2:3">
      <c r="B2476" s="17"/>
      <c r="C2476" s="17"/>
    </row>
    <row r="2477" spans="2:3">
      <c r="B2477" s="17"/>
      <c r="C2477" s="17"/>
    </row>
    <row r="2478" spans="2:3">
      <c r="B2478" s="17"/>
      <c r="C2478" s="17"/>
    </row>
    <row r="2479" spans="2:3">
      <c r="B2479" s="17"/>
      <c r="C2479" s="17"/>
    </row>
    <row r="2480" spans="2:3">
      <c r="B2480" s="17"/>
      <c r="C2480" s="17"/>
    </row>
    <row r="2481" spans="2:3">
      <c r="B2481" s="17"/>
      <c r="C2481" s="17"/>
    </row>
    <row r="2482" spans="2:3">
      <c r="B2482" s="17"/>
      <c r="C2482" s="17"/>
    </row>
    <row r="2483" spans="2:3">
      <c r="B2483" s="17"/>
      <c r="C2483" s="17"/>
    </row>
    <row r="2484" spans="2:3">
      <c r="B2484" s="17"/>
      <c r="C2484" s="17"/>
    </row>
    <row r="2485" spans="2:3">
      <c r="B2485" s="17"/>
      <c r="C2485" s="17"/>
    </row>
    <row r="2486" spans="2:3">
      <c r="B2486" s="17"/>
      <c r="C2486" s="17"/>
    </row>
    <row r="2487" spans="2:3">
      <c r="B2487" s="17"/>
      <c r="C2487" s="17"/>
    </row>
    <row r="2488" spans="2:3">
      <c r="B2488" s="17"/>
      <c r="C2488" s="17"/>
    </row>
    <row r="2489" spans="2:3">
      <c r="B2489" s="17"/>
      <c r="C2489" s="17"/>
    </row>
    <row r="2490" spans="2:3">
      <c r="B2490" s="17"/>
      <c r="C2490" s="17"/>
    </row>
    <row r="2491" spans="2:3">
      <c r="B2491" s="17"/>
      <c r="C2491" s="17"/>
    </row>
    <row r="2492" spans="2:3">
      <c r="B2492" s="17"/>
      <c r="C2492" s="17"/>
    </row>
    <row r="2493" spans="2:3">
      <c r="B2493" s="17"/>
      <c r="C2493" s="17"/>
    </row>
    <row r="2494" spans="2:3">
      <c r="B2494" s="17"/>
      <c r="C2494" s="17"/>
    </row>
    <row r="2495" spans="2:3">
      <c r="B2495" s="17"/>
      <c r="C2495" s="17"/>
    </row>
    <row r="2496" spans="2:3">
      <c r="B2496" s="17"/>
      <c r="C2496" s="17"/>
    </row>
    <row r="2497" spans="2:3">
      <c r="B2497" s="17"/>
      <c r="C2497" s="17"/>
    </row>
    <row r="2498" spans="2:3">
      <c r="B2498" s="17"/>
      <c r="C2498" s="17"/>
    </row>
    <row r="2499" spans="2:3">
      <c r="B2499" s="17"/>
      <c r="C2499" s="17"/>
    </row>
    <row r="2500" spans="2:3">
      <c r="B2500" s="17"/>
      <c r="C2500" s="17"/>
    </row>
    <row r="2501" spans="2:3">
      <c r="B2501" s="17"/>
      <c r="C2501" s="17"/>
    </row>
    <row r="2502" spans="2:3">
      <c r="B2502" s="17"/>
      <c r="C2502" s="17"/>
    </row>
    <row r="2503" spans="2:3">
      <c r="B2503" s="17"/>
      <c r="C2503" s="17"/>
    </row>
    <row r="2504" spans="2:3">
      <c r="B2504" s="17"/>
      <c r="C2504" s="17"/>
    </row>
    <row r="2505" spans="2:3">
      <c r="B2505" s="17"/>
      <c r="C2505" s="17"/>
    </row>
    <row r="2506" spans="2:3">
      <c r="B2506" s="17"/>
      <c r="C2506" s="17"/>
    </row>
    <row r="2507" spans="2:3">
      <c r="B2507" s="17"/>
      <c r="C2507" s="17"/>
    </row>
    <row r="2508" spans="2:3">
      <c r="B2508" s="17"/>
      <c r="C2508" s="17"/>
    </row>
    <row r="2509" spans="2:3">
      <c r="B2509" s="17"/>
      <c r="C2509" s="17"/>
    </row>
    <row r="2510" spans="2:3">
      <c r="B2510" s="17"/>
      <c r="C2510" s="17"/>
    </row>
    <row r="2511" spans="2:3">
      <c r="B2511" s="17"/>
      <c r="C2511" s="17"/>
    </row>
    <row r="2512" spans="2:3">
      <c r="B2512" s="17"/>
      <c r="C2512" s="17"/>
    </row>
    <row r="2513" spans="2:3">
      <c r="B2513" s="17"/>
      <c r="C2513" s="17"/>
    </row>
    <row r="2514" spans="2:3">
      <c r="B2514" s="17"/>
      <c r="C2514" s="17"/>
    </row>
    <row r="2515" spans="2:3">
      <c r="B2515" s="17"/>
      <c r="C2515" s="17"/>
    </row>
    <row r="2516" spans="2:3">
      <c r="B2516" s="17"/>
      <c r="C2516" s="17"/>
    </row>
    <row r="2517" spans="2:3">
      <c r="B2517" s="17"/>
      <c r="C2517" s="17"/>
    </row>
    <row r="2518" spans="2:3">
      <c r="B2518" s="17"/>
      <c r="C2518" s="17"/>
    </row>
    <row r="2519" spans="2:3">
      <c r="B2519" s="17"/>
      <c r="C2519" s="17"/>
    </row>
    <row r="2520" spans="2:3">
      <c r="B2520" s="17"/>
      <c r="C2520" s="17"/>
    </row>
    <row r="2521" spans="2:3">
      <c r="B2521" s="17"/>
      <c r="C2521" s="17"/>
    </row>
    <row r="2522" spans="2:3">
      <c r="B2522" s="17"/>
      <c r="C2522" s="17"/>
    </row>
    <row r="2523" spans="2:3">
      <c r="B2523" s="17"/>
      <c r="C2523" s="17"/>
    </row>
    <row r="2524" spans="2:3">
      <c r="B2524" s="17"/>
      <c r="C2524" s="17"/>
    </row>
    <row r="2525" spans="2:3">
      <c r="B2525" s="17"/>
      <c r="C2525" s="17"/>
    </row>
    <row r="2526" spans="2:3">
      <c r="B2526" s="17"/>
      <c r="C2526" s="17"/>
    </row>
    <row r="2527" spans="2:3">
      <c r="B2527" s="17"/>
      <c r="C2527" s="17"/>
    </row>
    <row r="2528" spans="2:3">
      <c r="B2528" s="17"/>
      <c r="C2528" s="17"/>
    </row>
    <row r="2529" spans="1:3">
      <c r="B2529" s="17"/>
      <c r="C2529" s="17"/>
    </row>
    <row r="2530" spans="1:3">
      <c r="B2530" s="17"/>
      <c r="C2530" s="17"/>
    </row>
    <row r="2531" spans="1:3">
      <c r="A2531" s="27"/>
      <c r="B2531" s="28"/>
      <c r="C2531" s="2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J141"/>
  <sheetViews>
    <sheetView workbookViewId="0">
      <selection activeCell="A2" sqref="A2"/>
    </sheetView>
  </sheetViews>
  <sheetFormatPr defaultRowHeight="14.25"/>
  <cols>
    <col min="1" max="1" width="13" style="16" bestFit="1" customWidth="1"/>
    <col min="2" max="2" width="21" style="16" bestFit="1" customWidth="1"/>
    <col min="10" max="10" width="51.625" customWidth="1"/>
  </cols>
  <sheetData>
    <row r="1" spans="1:10">
      <c r="A1" s="22" t="s">
        <v>186</v>
      </c>
      <c r="B1" s="22" t="s">
        <v>189</v>
      </c>
    </row>
    <row r="2" spans="1:10">
      <c r="B2" s="17"/>
    </row>
    <row r="3" spans="1:10">
      <c r="B3" s="17"/>
    </row>
    <row r="4" spans="1:10">
      <c r="B4" s="17"/>
    </row>
    <row r="5" spans="1:10">
      <c r="B5" s="17"/>
    </row>
    <row r="6" spans="1:10">
      <c r="B6" s="17"/>
    </row>
    <row r="7" spans="1:10">
      <c r="B7" s="17"/>
    </row>
    <row r="8" spans="1:10">
      <c r="B8" s="17"/>
    </row>
    <row r="9" spans="1:10">
      <c r="B9" s="17"/>
    </row>
    <row r="10" spans="1:10">
      <c r="B10" s="17"/>
    </row>
    <row r="11" spans="1:10">
      <c r="B11" s="17"/>
      <c r="J11" s="21"/>
    </row>
    <row r="12" spans="1:10">
      <c r="B12" s="17"/>
    </row>
    <row r="13" spans="1:10">
      <c r="B13" s="17"/>
    </row>
    <row r="14" spans="1:10">
      <c r="B14" s="17"/>
    </row>
    <row r="15" spans="1:10">
      <c r="B15" s="17"/>
    </row>
    <row r="16" spans="1:10">
      <c r="B16" s="17"/>
    </row>
    <row r="17" spans="2:2">
      <c r="B17" s="17"/>
    </row>
    <row r="18" spans="2:2">
      <c r="B18" s="17"/>
    </row>
    <row r="19" spans="2:2">
      <c r="B19" s="17"/>
    </row>
    <row r="20" spans="2:2">
      <c r="B20" s="17"/>
    </row>
    <row r="21" spans="2:2">
      <c r="B21" s="17"/>
    </row>
    <row r="22" spans="2:2">
      <c r="B22" s="17"/>
    </row>
    <row r="23" spans="2:2">
      <c r="B23" s="17"/>
    </row>
    <row r="24" spans="2:2">
      <c r="B24" s="17"/>
    </row>
    <row r="25" spans="2:2">
      <c r="B25" s="17"/>
    </row>
    <row r="26" spans="2:2">
      <c r="B26" s="17"/>
    </row>
    <row r="27" spans="2:2">
      <c r="B27" s="17"/>
    </row>
    <row r="28" spans="2:2">
      <c r="B28" s="17"/>
    </row>
    <row r="29" spans="2:2">
      <c r="B29" s="17"/>
    </row>
    <row r="30" spans="2:2">
      <c r="B30" s="17"/>
    </row>
    <row r="31" spans="2:2">
      <c r="B31" s="17"/>
    </row>
    <row r="32" spans="2:2">
      <c r="B32" s="17"/>
    </row>
    <row r="33" spans="2:2">
      <c r="B33" s="17"/>
    </row>
    <row r="34" spans="2:2">
      <c r="B34" s="17"/>
    </row>
    <row r="35" spans="2:2">
      <c r="B35" s="17"/>
    </row>
    <row r="36" spans="2:2">
      <c r="B36" s="17"/>
    </row>
    <row r="37" spans="2:2">
      <c r="B37" s="17"/>
    </row>
    <row r="38" spans="2:2">
      <c r="B38" s="17"/>
    </row>
    <row r="39" spans="2:2">
      <c r="B39" s="17"/>
    </row>
    <row r="40" spans="2:2">
      <c r="B40" s="17"/>
    </row>
    <row r="41" spans="2:2">
      <c r="B41" s="17"/>
    </row>
    <row r="42" spans="2:2">
      <c r="B42" s="17"/>
    </row>
    <row r="43" spans="2:2">
      <c r="B43" s="17"/>
    </row>
    <row r="44" spans="2:2">
      <c r="B44" s="17"/>
    </row>
    <row r="45" spans="2:2">
      <c r="B45" s="17"/>
    </row>
    <row r="46" spans="2:2">
      <c r="B46" s="17"/>
    </row>
    <row r="47" spans="2:2">
      <c r="B47" s="17"/>
    </row>
    <row r="48" spans="2:2">
      <c r="B48" s="17"/>
    </row>
    <row r="49" spans="2:2">
      <c r="B49" s="17"/>
    </row>
    <row r="50" spans="2:2">
      <c r="B50" s="17"/>
    </row>
    <row r="51" spans="2:2">
      <c r="B51" s="17"/>
    </row>
    <row r="52" spans="2:2">
      <c r="B52" s="17"/>
    </row>
    <row r="53" spans="2:2">
      <c r="B53" s="17"/>
    </row>
    <row r="54" spans="2:2">
      <c r="B54" s="17"/>
    </row>
    <row r="55" spans="2:2">
      <c r="B55" s="17"/>
    </row>
    <row r="56" spans="2:2">
      <c r="B56" s="17"/>
    </row>
    <row r="57" spans="2:2">
      <c r="B57" s="17"/>
    </row>
    <row r="58" spans="2:2">
      <c r="B58" s="17"/>
    </row>
    <row r="59" spans="2:2">
      <c r="B59" s="17"/>
    </row>
    <row r="60" spans="2:2">
      <c r="B60" s="17"/>
    </row>
    <row r="61" spans="2:2">
      <c r="B61" s="17"/>
    </row>
    <row r="62" spans="2:2">
      <c r="B62" s="17"/>
    </row>
    <row r="63" spans="2:2">
      <c r="B63" s="17"/>
    </row>
    <row r="64" spans="2:2">
      <c r="B64" s="17"/>
    </row>
    <row r="65" spans="2:2">
      <c r="B65" s="17"/>
    </row>
    <row r="66" spans="2:2">
      <c r="B66" s="17"/>
    </row>
    <row r="67" spans="2:2">
      <c r="B67" s="17"/>
    </row>
    <row r="68" spans="2:2">
      <c r="B68" s="17"/>
    </row>
    <row r="69" spans="2:2">
      <c r="B69" s="17"/>
    </row>
    <row r="70" spans="2:2">
      <c r="B70" s="17"/>
    </row>
    <row r="71" spans="2:2">
      <c r="B71" s="17"/>
    </row>
    <row r="72" spans="2:2">
      <c r="B72" s="17"/>
    </row>
    <row r="73" spans="2:2">
      <c r="B73" s="17"/>
    </row>
    <row r="74" spans="2:2">
      <c r="B74" s="17"/>
    </row>
    <row r="75" spans="2:2">
      <c r="B75" s="17"/>
    </row>
    <row r="76" spans="2:2">
      <c r="B76" s="17"/>
    </row>
    <row r="77" spans="2:2">
      <c r="B77" s="17"/>
    </row>
    <row r="78" spans="2:2">
      <c r="B78" s="17"/>
    </row>
    <row r="79" spans="2:2">
      <c r="B79" s="17"/>
    </row>
    <row r="80" spans="2:2">
      <c r="B80" s="17"/>
    </row>
    <row r="81" spans="2:2">
      <c r="B81" s="17"/>
    </row>
    <row r="82" spans="2:2">
      <c r="B82" s="17"/>
    </row>
    <row r="83" spans="2:2">
      <c r="B83" s="17"/>
    </row>
    <row r="84" spans="2:2">
      <c r="B84" s="17"/>
    </row>
    <row r="85" spans="2:2">
      <c r="B85" s="17"/>
    </row>
    <row r="86" spans="2:2">
      <c r="B86" s="17"/>
    </row>
    <row r="87" spans="2:2">
      <c r="B87" s="17"/>
    </row>
    <row r="88" spans="2:2">
      <c r="B88" s="17"/>
    </row>
    <row r="89" spans="2:2">
      <c r="B89" s="17"/>
    </row>
    <row r="90" spans="2:2">
      <c r="B90" s="17"/>
    </row>
    <row r="91" spans="2:2">
      <c r="B91" s="17"/>
    </row>
    <row r="92" spans="2:2">
      <c r="B92" s="17"/>
    </row>
    <row r="93" spans="2:2">
      <c r="B93" s="17"/>
    </row>
    <row r="94" spans="2:2">
      <c r="B94" s="17"/>
    </row>
    <row r="95" spans="2:2">
      <c r="B95" s="17"/>
    </row>
    <row r="96" spans="2:2">
      <c r="B96" s="17"/>
    </row>
    <row r="97" spans="2:2">
      <c r="B97" s="17"/>
    </row>
    <row r="98" spans="2:2">
      <c r="B98" s="17"/>
    </row>
    <row r="99" spans="2:2">
      <c r="B99" s="17"/>
    </row>
    <row r="100" spans="2:2">
      <c r="B100" s="17"/>
    </row>
    <row r="101" spans="2:2">
      <c r="B101" s="17"/>
    </row>
    <row r="102" spans="2:2">
      <c r="B102" s="17"/>
    </row>
    <row r="103" spans="2:2">
      <c r="B103" s="17"/>
    </row>
    <row r="104" spans="2:2">
      <c r="B104" s="17"/>
    </row>
    <row r="105" spans="2:2">
      <c r="B105" s="17"/>
    </row>
    <row r="106" spans="2:2">
      <c r="B106" s="17"/>
    </row>
    <row r="107" spans="2:2">
      <c r="B107" s="17"/>
    </row>
    <row r="108" spans="2:2">
      <c r="B108" s="17"/>
    </row>
    <row r="109" spans="2:2">
      <c r="B109" s="17"/>
    </row>
    <row r="110" spans="2:2">
      <c r="B110" s="17"/>
    </row>
    <row r="111" spans="2:2">
      <c r="B111" s="17"/>
    </row>
    <row r="112" spans="2:2">
      <c r="B112" s="17"/>
    </row>
    <row r="113" spans="2:2">
      <c r="B113" s="17"/>
    </row>
    <row r="114" spans="2:2">
      <c r="B114" s="17"/>
    </row>
    <row r="115" spans="2:2">
      <c r="B115" s="17"/>
    </row>
    <row r="116" spans="2:2">
      <c r="B116" s="17"/>
    </row>
    <row r="117" spans="2:2">
      <c r="B117" s="17"/>
    </row>
    <row r="118" spans="2:2">
      <c r="B118" s="17"/>
    </row>
    <row r="119" spans="2:2">
      <c r="B119" s="17"/>
    </row>
    <row r="120" spans="2:2">
      <c r="B120" s="17"/>
    </row>
    <row r="121" spans="2:2">
      <c r="B121" s="17"/>
    </row>
    <row r="122" spans="2:2">
      <c r="B122" s="17"/>
    </row>
    <row r="123" spans="2:2">
      <c r="B123" s="17"/>
    </row>
    <row r="124" spans="2:2">
      <c r="B124" s="17"/>
    </row>
    <row r="125" spans="2:2">
      <c r="B125" s="17"/>
    </row>
    <row r="126" spans="2:2">
      <c r="B126" s="17"/>
    </row>
    <row r="127" spans="2:2">
      <c r="B127" s="17"/>
    </row>
    <row r="128" spans="2:2">
      <c r="B128" s="17"/>
    </row>
    <row r="129" spans="2:2">
      <c r="B129" s="17"/>
    </row>
    <row r="130" spans="2:2">
      <c r="B130" s="17"/>
    </row>
    <row r="131" spans="2:2">
      <c r="B131" s="17"/>
    </row>
    <row r="132" spans="2:2">
      <c r="B132" s="17"/>
    </row>
    <row r="133" spans="2:2">
      <c r="B133" s="17"/>
    </row>
    <row r="134" spans="2:2">
      <c r="B134" s="17"/>
    </row>
    <row r="135" spans="2:2">
      <c r="B135" s="17"/>
    </row>
    <row r="136" spans="2:2">
      <c r="B136" s="17"/>
    </row>
    <row r="137" spans="2:2">
      <c r="B137" s="17"/>
    </row>
    <row r="138" spans="2:2">
      <c r="B138" s="17"/>
    </row>
    <row r="139" spans="2:2">
      <c r="B139" s="17"/>
    </row>
    <row r="140" spans="2:2">
      <c r="B140" s="17"/>
    </row>
    <row r="141" spans="2:2">
      <c r="B141" s="17"/>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B3258"/>
  <sheetViews>
    <sheetView workbookViewId="0">
      <selection activeCell="A2" sqref="A2"/>
    </sheetView>
  </sheetViews>
  <sheetFormatPr defaultRowHeight="14.25"/>
  <cols>
    <col min="1" max="1" width="13" style="16" bestFit="1" customWidth="1"/>
    <col min="2" max="2" width="9" style="16" bestFit="1" customWidth="1"/>
  </cols>
  <sheetData>
    <row r="1" spans="1:2" ht="28.5">
      <c r="A1" s="22" t="s">
        <v>186</v>
      </c>
      <c r="B1" s="24" t="s">
        <v>229</v>
      </c>
    </row>
    <row r="2" spans="1:2">
      <c r="B2" s="17"/>
    </row>
    <row r="3" spans="1:2">
      <c r="B3" s="17"/>
    </row>
    <row r="4" spans="1:2">
      <c r="B4" s="17"/>
    </row>
    <row r="5" spans="1:2">
      <c r="B5" s="17"/>
    </row>
    <row r="6" spans="1:2">
      <c r="B6" s="17"/>
    </row>
    <row r="7" spans="1:2">
      <c r="B7" s="17"/>
    </row>
    <row r="8" spans="1:2">
      <c r="B8" s="17"/>
    </row>
    <row r="9" spans="1:2">
      <c r="B9" s="17"/>
    </row>
    <row r="10" spans="1:2">
      <c r="B10" s="17"/>
    </row>
    <row r="11" spans="1:2">
      <c r="B11" s="17"/>
    </row>
    <row r="12" spans="1:2">
      <c r="B12" s="17"/>
    </row>
    <row r="13" spans="1:2">
      <c r="B13" s="17"/>
    </row>
    <row r="14" spans="1:2">
      <c r="B14" s="17"/>
    </row>
    <row r="15" spans="1:2">
      <c r="B15" s="17"/>
    </row>
    <row r="16" spans="1:2">
      <c r="B16" s="17"/>
    </row>
    <row r="17" spans="2:2">
      <c r="B17" s="17"/>
    </row>
    <row r="18" spans="2:2">
      <c r="B18" s="17"/>
    </row>
    <row r="19" spans="2:2">
      <c r="B19" s="17"/>
    </row>
    <row r="20" spans="2:2">
      <c r="B20" s="17"/>
    </row>
    <row r="21" spans="2:2">
      <c r="B21" s="17"/>
    </row>
    <row r="22" spans="2:2">
      <c r="B22" s="17"/>
    </row>
    <row r="23" spans="2:2">
      <c r="B23" s="17"/>
    </row>
    <row r="24" spans="2:2">
      <c r="B24" s="17"/>
    </row>
    <row r="25" spans="2:2">
      <c r="B25" s="17"/>
    </row>
    <row r="26" spans="2:2">
      <c r="B26" s="17"/>
    </row>
    <row r="27" spans="2:2">
      <c r="B27" s="17"/>
    </row>
    <row r="28" spans="2:2">
      <c r="B28" s="17"/>
    </row>
    <row r="29" spans="2:2">
      <c r="B29" s="17"/>
    </row>
    <row r="30" spans="2:2">
      <c r="B30" s="17"/>
    </row>
    <row r="31" spans="2:2">
      <c r="B31" s="17"/>
    </row>
    <row r="32" spans="2:2">
      <c r="B32" s="17"/>
    </row>
    <row r="33" spans="2:2">
      <c r="B33" s="17"/>
    </row>
    <row r="34" spans="2:2">
      <c r="B34" s="17"/>
    </row>
    <row r="35" spans="2:2">
      <c r="B35" s="17"/>
    </row>
    <row r="36" spans="2:2">
      <c r="B36" s="17"/>
    </row>
    <row r="37" spans="2:2">
      <c r="B37" s="17"/>
    </row>
    <row r="38" spans="2:2">
      <c r="B38" s="17"/>
    </row>
    <row r="39" spans="2:2">
      <c r="B39" s="17"/>
    </row>
    <row r="40" spans="2:2">
      <c r="B40" s="17"/>
    </row>
    <row r="41" spans="2:2">
      <c r="B41" s="17"/>
    </row>
    <row r="42" spans="2:2">
      <c r="B42" s="17"/>
    </row>
    <row r="43" spans="2:2">
      <c r="B43" s="17"/>
    </row>
    <row r="44" spans="2:2">
      <c r="B44" s="17"/>
    </row>
    <row r="45" spans="2:2">
      <c r="B45" s="17"/>
    </row>
    <row r="46" spans="2:2">
      <c r="B46" s="17"/>
    </row>
    <row r="47" spans="2:2">
      <c r="B47" s="17"/>
    </row>
    <row r="48" spans="2:2">
      <c r="B48" s="17"/>
    </row>
    <row r="49" spans="2:2">
      <c r="B49" s="17"/>
    </row>
    <row r="50" spans="2:2">
      <c r="B50" s="17"/>
    </row>
    <row r="51" spans="2:2">
      <c r="B51" s="17"/>
    </row>
    <row r="52" spans="2:2">
      <c r="B52" s="17"/>
    </row>
    <row r="53" spans="2:2">
      <c r="B53" s="17"/>
    </row>
    <row r="54" spans="2:2">
      <c r="B54" s="17"/>
    </row>
    <row r="55" spans="2:2">
      <c r="B55" s="17"/>
    </row>
    <row r="56" spans="2:2">
      <c r="B56" s="17"/>
    </row>
    <row r="57" spans="2:2">
      <c r="B57" s="17"/>
    </row>
    <row r="58" spans="2:2">
      <c r="B58" s="17"/>
    </row>
    <row r="59" spans="2:2">
      <c r="B59" s="17"/>
    </row>
    <row r="60" spans="2:2">
      <c r="B60" s="17"/>
    </row>
    <row r="61" spans="2:2">
      <c r="B61" s="17"/>
    </row>
    <row r="62" spans="2:2">
      <c r="B62" s="17"/>
    </row>
    <row r="63" spans="2:2">
      <c r="B63" s="17"/>
    </row>
    <row r="64" spans="2:2">
      <c r="B64" s="17"/>
    </row>
    <row r="65" spans="2:2">
      <c r="B65" s="17"/>
    </row>
    <row r="66" spans="2:2">
      <c r="B66" s="17"/>
    </row>
    <row r="67" spans="2:2">
      <c r="B67" s="17"/>
    </row>
    <row r="68" spans="2:2">
      <c r="B68" s="17"/>
    </row>
    <row r="69" spans="2:2">
      <c r="B69" s="17"/>
    </row>
    <row r="70" spans="2:2">
      <c r="B70" s="17"/>
    </row>
    <row r="71" spans="2:2">
      <c r="B71" s="17"/>
    </row>
    <row r="72" spans="2:2">
      <c r="B72" s="17"/>
    </row>
    <row r="73" spans="2:2">
      <c r="B73" s="17"/>
    </row>
    <row r="74" spans="2:2">
      <c r="B74" s="17"/>
    </row>
    <row r="75" spans="2:2">
      <c r="B75" s="17"/>
    </row>
    <row r="76" spans="2:2">
      <c r="B76" s="17"/>
    </row>
    <row r="77" spans="2:2">
      <c r="B77" s="17"/>
    </row>
    <row r="78" spans="2:2">
      <c r="B78" s="17"/>
    </row>
    <row r="79" spans="2:2">
      <c r="B79" s="17"/>
    </row>
    <row r="80" spans="2:2">
      <c r="B80" s="17"/>
    </row>
    <row r="81" spans="2:2">
      <c r="B81" s="17"/>
    </row>
    <row r="82" spans="2:2">
      <c r="B82" s="17"/>
    </row>
    <row r="83" spans="2:2">
      <c r="B83" s="17"/>
    </row>
    <row r="84" spans="2:2">
      <c r="B84" s="17"/>
    </row>
    <row r="85" spans="2:2">
      <c r="B85" s="17"/>
    </row>
    <row r="86" spans="2:2">
      <c r="B86" s="17"/>
    </row>
    <row r="87" spans="2:2">
      <c r="B87" s="17"/>
    </row>
    <row r="88" spans="2:2">
      <c r="B88" s="17"/>
    </row>
    <row r="89" spans="2:2">
      <c r="B89" s="17"/>
    </row>
    <row r="90" spans="2:2">
      <c r="B90" s="17"/>
    </row>
    <row r="91" spans="2:2">
      <c r="B91" s="17"/>
    </row>
    <row r="92" spans="2:2">
      <c r="B92" s="17"/>
    </row>
    <row r="93" spans="2:2">
      <c r="B93" s="17"/>
    </row>
    <row r="94" spans="2:2">
      <c r="B94" s="17"/>
    </row>
    <row r="95" spans="2:2">
      <c r="B95" s="17"/>
    </row>
    <row r="96" spans="2:2">
      <c r="B96" s="17"/>
    </row>
    <row r="97" spans="2:2">
      <c r="B97" s="17"/>
    </row>
    <row r="98" spans="2:2">
      <c r="B98" s="17"/>
    </row>
    <row r="99" spans="2:2">
      <c r="B99" s="17"/>
    </row>
    <row r="100" spans="2:2">
      <c r="B100" s="17"/>
    </row>
    <row r="101" spans="2:2">
      <c r="B101" s="17"/>
    </row>
    <row r="102" spans="2:2">
      <c r="B102" s="17"/>
    </row>
    <row r="103" spans="2:2">
      <c r="B103" s="17"/>
    </row>
    <row r="104" spans="2:2">
      <c r="B104" s="17"/>
    </row>
    <row r="105" spans="2:2">
      <c r="B105" s="17"/>
    </row>
    <row r="106" spans="2:2">
      <c r="B106" s="17"/>
    </row>
    <row r="107" spans="2:2">
      <c r="B107" s="17"/>
    </row>
    <row r="108" spans="2:2">
      <c r="B108" s="17"/>
    </row>
    <row r="109" spans="2:2">
      <c r="B109" s="17"/>
    </row>
    <row r="110" spans="2:2">
      <c r="B110" s="17"/>
    </row>
    <row r="111" spans="2:2">
      <c r="B111" s="17"/>
    </row>
    <row r="112" spans="2:2">
      <c r="B112" s="17"/>
    </row>
    <row r="113" spans="2:2">
      <c r="B113" s="17"/>
    </row>
    <row r="114" spans="2:2">
      <c r="B114" s="17"/>
    </row>
    <row r="115" spans="2:2">
      <c r="B115" s="17"/>
    </row>
    <row r="116" spans="2:2">
      <c r="B116" s="17"/>
    </row>
    <row r="117" spans="2:2">
      <c r="B117" s="17"/>
    </row>
    <row r="118" spans="2:2">
      <c r="B118" s="17"/>
    </row>
    <row r="119" spans="2:2">
      <c r="B119" s="17"/>
    </row>
    <row r="120" spans="2:2">
      <c r="B120" s="17"/>
    </row>
    <row r="121" spans="2:2">
      <c r="B121" s="17"/>
    </row>
    <row r="122" spans="2:2">
      <c r="B122" s="17"/>
    </row>
    <row r="123" spans="2:2">
      <c r="B123" s="17"/>
    </row>
    <row r="124" spans="2:2">
      <c r="B124" s="17"/>
    </row>
    <row r="125" spans="2:2">
      <c r="B125" s="17"/>
    </row>
    <row r="126" spans="2:2">
      <c r="B126" s="17"/>
    </row>
    <row r="127" spans="2:2">
      <c r="B127" s="17"/>
    </row>
    <row r="128" spans="2:2">
      <c r="B128" s="17"/>
    </row>
    <row r="129" spans="2:2">
      <c r="B129" s="17"/>
    </row>
    <row r="130" spans="2:2">
      <c r="B130" s="17"/>
    </row>
    <row r="131" spans="2:2">
      <c r="B131" s="17"/>
    </row>
    <row r="132" spans="2:2">
      <c r="B132" s="17"/>
    </row>
    <row r="133" spans="2:2">
      <c r="B133" s="17"/>
    </row>
    <row r="134" spans="2:2">
      <c r="B134" s="17"/>
    </row>
    <row r="135" spans="2:2">
      <c r="B135" s="17"/>
    </row>
    <row r="136" spans="2:2">
      <c r="B136" s="17"/>
    </row>
    <row r="137" spans="2:2">
      <c r="B137" s="17"/>
    </row>
    <row r="138" spans="2:2">
      <c r="B138" s="17"/>
    </row>
    <row r="139" spans="2:2">
      <c r="B139" s="17"/>
    </row>
    <row r="140" spans="2:2">
      <c r="B140" s="17"/>
    </row>
    <row r="141" spans="2:2">
      <c r="B141" s="17"/>
    </row>
    <row r="142" spans="2:2">
      <c r="B142" s="17"/>
    </row>
    <row r="143" spans="2:2">
      <c r="B143" s="17"/>
    </row>
    <row r="144" spans="2:2">
      <c r="B144" s="17"/>
    </row>
    <row r="145" spans="2:2">
      <c r="B145" s="17"/>
    </row>
    <row r="146" spans="2:2">
      <c r="B146" s="17"/>
    </row>
    <row r="147" spans="2:2">
      <c r="B147" s="17"/>
    </row>
    <row r="148" spans="2:2">
      <c r="B148" s="17"/>
    </row>
    <row r="149" spans="2:2">
      <c r="B149" s="17"/>
    </row>
    <row r="150" spans="2:2">
      <c r="B150" s="17"/>
    </row>
    <row r="151" spans="2:2">
      <c r="B151" s="17"/>
    </row>
    <row r="152" spans="2:2">
      <c r="B152" s="17"/>
    </row>
    <row r="153" spans="2:2">
      <c r="B153" s="17"/>
    </row>
    <row r="154" spans="2:2">
      <c r="B154" s="17"/>
    </row>
    <row r="155" spans="2:2">
      <c r="B155" s="17"/>
    </row>
    <row r="156" spans="2:2">
      <c r="B156" s="17"/>
    </row>
    <row r="157" spans="2:2">
      <c r="B157" s="17"/>
    </row>
    <row r="158" spans="2:2">
      <c r="B158" s="17"/>
    </row>
    <row r="159" spans="2:2">
      <c r="B159" s="17"/>
    </row>
    <row r="160" spans="2:2">
      <c r="B160" s="17"/>
    </row>
    <row r="161" spans="2:2">
      <c r="B161" s="17"/>
    </row>
    <row r="162" spans="2:2">
      <c r="B162" s="17"/>
    </row>
    <row r="163" spans="2:2">
      <c r="B163" s="17"/>
    </row>
    <row r="164" spans="2:2">
      <c r="B164" s="17"/>
    </row>
    <row r="165" spans="2:2">
      <c r="B165" s="17"/>
    </row>
    <row r="166" spans="2:2">
      <c r="B166" s="17"/>
    </row>
    <row r="167" spans="2:2">
      <c r="B167" s="17"/>
    </row>
    <row r="168" spans="2:2">
      <c r="B168" s="17"/>
    </row>
    <row r="169" spans="2:2">
      <c r="B169" s="17"/>
    </row>
    <row r="170" spans="2:2">
      <c r="B170" s="17"/>
    </row>
    <row r="171" spans="2:2">
      <c r="B171" s="17"/>
    </row>
    <row r="172" spans="2:2">
      <c r="B172" s="17"/>
    </row>
    <row r="173" spans="2:2">
      <c r="B173" s="17"/>
    </row>
    <row r="174" spans="2:2">
      <c r="B174" s="17"/>
    </row>
    <row r="175" spans="2:2">
      <c r="B175" s="17"/>
    </row>
    <row r="176" spans="2:2">
      <c r="B176" s="17"/>
    </row>
    <row r="177" spans="2:2">
      <c r="B177" s="17"/>
    </row>
    <row r="178" spans="2:2">
      <c r="B178" s="17"/>
    </row>
    <row r="179" spans="2:2">
      <c r="B179" s="17"/>
    </row>
    <row r="180" spans="2:2">
      <c r="B180" s="17"/>
    </row>
    <row r="181" spans="2:2">
      <c r="B181" s="17"/>
    </row>
    <row r="182" spans="2:2">
      <c r="B182" s="17"/>
    </row>
    <row r="183" spans="2:2">
      <c r="B183" s="17"/>
    </row>
    <row r="184" spans="2:2">
      <c r="B184" s="17"/>
    </row>
    <row r="185" spans="2:2">
      <c r="B185" s="17"/>
    </row>
    <row r="186" spans="2:2">
      <c r="B186" s="17"/>
    </row>
    <row r="187" spans="2:2">
      <c r="B187" s="17"/>
    </row>
    <row r="188" spans="2:2">
      <c r="B188" s="17"/>
    </row>
    <row r="189" spans="2:2">
      <c r="B189" s="17"/>
    </row>
    <row r="190" spans="2:2">
      <c r="B190" s="17"/>
    </row>
    <row r="191" spans="2:2">
      <c r="B191" s="17"/>
    </row>
    <row r="192" spans="2:2">
      <c r="B192" s="17"/>
    </row>
    <row r="193" spans="2:2">
      <c r="B193" s="17"/>
    </row>
    <row r="194" spans="2:2">
      <c r="B194" s="17"/>
    </row>
    <row r="195" spans="2:2">
      <c r="B195" s="17"/>
    </row>
    <row r="196" spans="2:2">
      <c r="B196" s="17"/>
    </row>
    <row r="197" spans="2:2">
      <c r="B197" s="17"/>
    </row>
    <row r="198" spans="2:2">
      <c r="B198" s="17"/>
    </row>
    <row r="199" spans="2:2">
      <c r="B199" s="17"/>
    </row>
    <row r="200" spans="2:2">
      <c r="B200" s="17"/>
    </row>
    <row r="201" spans="2:2">
      <c r="B201" s="17"/>
    </row>
    <row r="202" spans="2:2">
      <c r="B202" s="17"/>
    </row>
    <row r="203" spans="2:2">
      <c r="B203" s="17"/>
    </row>
    <row r="204" spans="2:2">
      <c r="B204" s="17"/>
    </row>
    <row r="205" spans="2:2">
      <c r="B205" s="17"/>
    </row>
    <row r="206" spans="2:2">
      <c r="B206" s="17"/>
    </row>
    <row r="207" spans="2:2">
      <c r="B207" s="17"/>
    </row>
    <row r="208" spans="2:2">
      <c r="B208" s="17"/>
    </row>
    <row r="209" spans="2:2">
      <c r="B209" s="17"/>
    </row>
    <row r="210" spans="2:2">
      <c r="B210" s="17"/>
    </row>
    <row r="211" spans="2:2">
      <c r="B211" s="17"/>
    </row>
    <row r="212" spans="2:2">
      <c r="B212" s="17"/>
    </row>
    <row r="213" spans="2:2">
      <c r="B213" s="17"/>
    </row>
    <row r="214" spans="2:2">
      <c r="B214" s="17"/>
    </row>
    <row r="215" spans="2:2">
      <c r="B215" s="17"/>
    </row>
    <row r="216" spans="2:2">
      <c r="B216" s="17"/>
    </row>
    <row r="217" spans="2:2">
      <c r="B217" s="17"/>
    </row>
    <row r="218" spans="2:2">
      <c r="B218" s="17"/>
    </row>
    <row r="219" spans="2:2">
      <c r="B219" s="17"/>
    </row>
    <row r="220" spans="2:2">
      <c r="B220" s="17"/>
    </row>
    <row r="221" spans="2:2">
      <c r="B221" s="17"/>
    </row>
    <row r="222" spans="2:2">
      <c r="B222" s="17"/>
    </row>
    <row r="223" spans="2:2">
      <c r="B223" s="17"/>
    </row>
    <row r="224" spans="2:2">
      <c r="B224" s="17"/>
    </row>
    <row r="225" spans="2:2">
      <c r="B225" s="17"/>
    </row>
    <row r="226" spans="2:2">
      <c r="B226" s="17"/>
    </row>
    <row r="227" spans="2:2">
      <c r="B227" s="17"/>
    </row>
    <row r="228" spans="2:2">
      <c r="B228" s="17"/>
    </row>
    <row r="229" spans="2:2">
      <c r="B229" s="17"/>
    </row>
    <row r="230" spans="2:2">
      <c r="B230" s="17"/>
    </row>
    <row r="231" spans="2:2">
      <c r="B231" s="17"/>
    </row>
    <row r="232" spans="2:2">
      <c r="B232" s="17"/>
    </row>
    <row r="233" spans="2:2">
      <c r="B233" s="17"/>
    </row>
    <row r="234" spans="2:2">
      <c r="B234" s="17"/>
    </row>
    <row r="235" spans="2:2">
      <c r="B235" s="17"/>
    </row>
    <row r="236" spans="2:2">
      <c r="B236" s="17"/>
    </row>
    <row r="237" spans="2:2">
      <c r="B237" s="17"/>
    </row>
    <row r="238" spans="2:2">
      <c r="B238" s="17"/>
    </row>
    <row r="239" spans="2:2">
      <c r="B239" s="17"/>
    </row>
    <row r="240" spans="2:2">
      <c r="B240" s="17"/>
    </row>
    <row r="241" spans="2:2">
      <c r="B241" s="17"/>
    </row>
    <row r="242" spans="2:2">
      <c r="B242" s="17"/>
    </row>
    <row r="243" spans="2:2">
      <c r="B243" s="17"/>
    </row>
    <row r="244" spans="2:2">
      <c r="B244" s="17"/>
    </row>
    <row r="245" spans="2:2">
      <c r="B245" s="17"/>
    </row>
    <row r="246" spans="2:2">
      <c r="B246" s="17"/>
    </row>
    <row r="247" spans="2:2">
      <c r="B247" s="17"/>
    </row>
    <row r="248" spans="2:2">
      <c r="B248" s="17"/>
    </row>
    <row r="249" spans="2:2">
      <c r="B249" s="17"/>
    </row>
    <row r="250" spans="2:2">
      <c r="B250" s="17"/>
    </row>
    <row r="251" spans="2:2">
      <c r="B251" s="17"/>
    </row>
    <row r="252" spans="2:2">
      <c r="B252" s="17"/>
    </row>
    <row r="253" spans="2:2">
      <c r="B253" s="17"/>
    </row>
    <row r="254" spans="2:2">
      <c r="B254" s="17"/>
    </row>
    <row r="255" spans="2:2">
      <c r="B255" s="17"/>
    </row>
    <row r="256" spans="2:2">
      <c r="B256" s="17"/>
    </row>
    <row r="257" spans="2:2">
      <c r="B257" s="17"/>
    </row>
    <row r="258" spans="2:2">
      <c r="B258" s="17"/>
    </row>
    <row r="259" spans="2:2">
      <c r="B259" s="17"/>
    </row>
    <row r="260" spans="2:2">
      <c r="B260" s="17"/>
    </row>
    <row r="261" spans="2:2">
      <c r="B261" s="17"/>
    </row>
    <row r="262" spans="2:2">
      <c r="B262" s="17"/>
    </row>
    <row r="263" spans="2:2">
      <c r="B263" s="17"/>
    </row>
    <row r="264" spans="2:2">
      <c r="B264" s="17"/>
    </row>
    <row r="265" spans="2:2">
      <c r="B265" s="17"/>
    </row>
    <row r="266" spans="2:2">
      <c r="B266" s="17"/>
    </row>
    <row r="267" spans="2:2">
      <c r="B267" s="17"/>
    </row>
    <row r="268" spans="2:2">
      <c r="B268" s="17"/>
    </row>
    <row r="269" spans="2:2">
      <c r="B269" s="17"/>
    </row>
    <row r="270" spans="2:2">
      <c r="B270" s="17"/>
    </row>
    <row r="271" spans="2:2">
      <c r="B271" s="17"/>
    </row>
    <row r="272" spans="2:2">
      <c r="B272" s="17"/>
    </row>
    <row r="273" spans="2:2">
      <c r="B273" s="17"/>
    </row>
    <row r="274" spans="2:2">
      <c r="B274" s="17"/>
    </row>
    <row r="275" spans="2:2">
      <c r="B275" s="17"/>
    </row>
    <row r="276" spans="2:2">
      <c r="B276" s="17"/>
    </row>
    <row r="277" spans="2:2">
      <c r="B277" s="17"/>
    </row>
    <row r="278" spans="2:2">
      <c r="B278" s="17"/>
    </row>
    <row r="279" spans="2:2">
      <c r="B279" s="17"/>
    </row>
    <row r="280" spans="2:2">
      <c r="B280" s="17"/>
    </row>
    <row r="281" spans="2:2">
      <c r="B281" s="17"/>
    </row>
    <row r="282" spans="2:2">
      <c r="B282" s="17"/>
    </row>
    <row r="283" spans="2:2">
      <c r="B283" s="17"/>
    </row>
    <row r="284" spans="2:2">
      <c r="B284" s="17"/>
    </row>
    <row r="285" spans="2:2">
      <c r="B285" s="17"/>
    </row>
    <row r="286" spans="2:2">
      <c r="B286" s="17"/>
    </row>
    <row r="287" spans="2:2">
      <c r="B287" s="17"/>
    </row>
    <row r="288" spans="2:2">
      <c r="B288" s="17"/>
    </row>
    <row r="289" spans="2:2">
      <c r="B289" s="17"/>
    </row>
    <row r="290" spans="2:2">
      <c r="B290" s="17"/>
    </row>
    <row r="291" spans="2:2">
      <c r="B291" s="17"/>
    </row>
    <row r="292" spans="2:2">
      <c r="B292" s="17"/>
    </row>
    <row r="293" spans="2:2">
      <c r="B293" s="17"/>
    </row>
    <row r="294" spans="2:2">
      <c r="B294" s="17"/>
    </row>
    <row r="295" spans="2:2">
      <c r="B295" s="17"/>
    </row>
    <row r="296" spans="2:2">
      <c r="B296" s="17"/>
    </row>
    <row r="297" spans="2:2">
      <c r="B297" s="17"/>
    </row>
    <row r="298" spans="2:2">
      <c r="B298" s="17"/>
    </row>
    <row r="299" spans="2:2">
      <c r="B299" s="17"/>
    </row>
    <row r="300" spans="2:2">
      <c r="B300" s="17"/>
    </row>
    <row r="301" spans="2:2">
      <c r="B301" s="17"/>
    </row>
    <row r="302" spans="2:2">
      <c r="B302" s="17"/>
    </row>
    <row r="303" spans="2:2">
      <c r="B303" s="17"/>
    </row>
    <row r="304" spans="2:2">
      <c r="B304" s="17"/>
    </row>
    <row r="305" spans="2:2">
      <c r="B305" s="17"/>
    </row>
    <row r="306" spans="2:2">
      <c r="B306" s="17"/>
    </row>
    <row r="307" spans="2:2">
      <c r="B307" s="17"/>
    </row>
    <row r="308" spans="2:2">
      <c r="B308" s="17"/>
    </row>
    <row r="309" spans="2:2">
      <c r="B309" s="17"/>
    </row>
    <row r="310" spans="2:2">
      <c r="B310" s="17"/>
    </row>
    <row r="311" spans="2:2">
      <c r="B311" s="17"/>
    </row>
    <row r="312" spans="2:2">
      <c r="B312" s="17"/>
    </row>
    <row r="313" spans="2:2">
      <c r="B313" s="17"/>
    </row>
    <row r="314" spans="2:2">
      <c r="B314" s="17"/>
    </row>
    <row r="315" spans="2:2">
      <c r="B315" s="17"/>
    </row>
    <row r="316" spans="2:2">
      <c r="B316" s="17"/>
    </row>
    <row r="317" spans="2:2">
      <c r="B317" s="17"/>
    </row>
    <row r="318" spans="2:2">
      <c r="B318" s="17"/>
    </row>
    <row r="319" spans="2:2">
      <c r="B319" s="17"/>
    </row>
    <row r="320" spans="2:2">
      <c r="B320" s="17"/>
    </row>
    <row r="321" spans="2:2">
      <c r="B321" s="17"/>
    </row>
    <row r="322" spans="2:2">
      <c r="B322" s="17"/>
    </row>
    <row r="323" spans="2:2">
      <c r="B323" s="17"/>
    </row>
    <row r="324" spans="2:2">
      <c r="B324" s="17"/>
    </row>
    <row r="325" spans="2:2">
      <c r="B325" s="17"/>
    </row>
    <row r="326" spans="2:2">
      <c r="B326" s="17"/>
    </row>
    <row r="327" spans="2:2">
      <c r="B327" s="17"/>
    </row>
    <row r="328" spans="2:2">
      <c r="B328" s="17"/>
    </row>
    <row r="329" spans="2:2">
      <c r="B329" s="17"/>
    </row>
    <row r="330" spans="2:2">
      <c r="B330" s="17"/>
    </row>
    <row r="331" spans="2:2">
      <c r="B331" s="17"/>
    </row>
    <row r="332" spans="2:2">
      <c r="B332" s="17"/>
    </row>
    <row r="333" spans="2:2">
      <c r="B333" s="17"/>
    </row>
    <row r="334" spans="2:2">
      <c r="B334" s="17"/>
    </row>
    <row r="335" spans="2:2">
      <c r="B335" s="17"/>
    </row>
    <row r="336" spans="2:2">
      <c r="B336" s="17"/>
    </row>
    <row r="337" spans="2:2">
      <c r="B337" s="17"/>
    </row>
    <row r="338" spans="2:2">
      <c r="B338" s="17"/>
    </row>
    <row r="339" spans="2:2">
      <c r="B339" s="17"/>
    </row>
    <row r="340" spans="2:2">
      <c r="B340" s="17"/>
    </row>
    <row r="341" spans="2:2">
      <c r="B341" s="17"/>
    </row>
    <row r="342" spans="2:2">
      <c r="B342" s="17"/>
    </row>
    <row r="343" spans="2:2">
      <c r="B343" s="17"/>
    </row>
    <row r="344" spans="2:2">
      <c r="B344" s="17"/>
    </row>
    <row r="345" spans="2:2">
      <c r="B345" s="17"/>
    </row>
    <row r="346" spans="2:2">
      <c r="B346" s="17"/>
    </row>
    <row r="347" spans="2:2">
      <c r="B347" s="17"/>
    </row>
    <row r="348" spans="2:2">
      <c r="B348" s="17"/>
    </row>
    <row r="349" spans="2:2">
      <c r="B349" s="17"/>
    </row>
    <row r="350" spans="2:2">
      <c r="B350" s="17"/>
    </row>
    <row r="351" spans="2:2">
      <c r="B351" s="17"/>
    </row>
    <row r="352" spans="2:2">
      <c r="B352" s="17"/>
    </row>
    <row r="353" spans="2:2">
      <c r="B353" s="17"/>
    </row>
    <row r="354" spans="2:2">
      <c r="B354" s="17"/>
    </row>
    <row r="355" spans="2:2">
      <c r="B355" s="17"/>
    </row>
    <row r="356" spans="2:2">
      <c r="B356" s="17"/>
    </row>
    <row r="357" spans="2:2">
      <c r="B357" s="17"/>
    </row>
    <row r="358" spans="2:2">
      <c r="B358" s="17"/>
    </row>
    <row r="359" spans="2:2">
      <c r="B359" s="17"/>
    </row>
    <row r="360" spans="2:2">
      <c r="B360" s="17"/>
    </row>
    <row r="361" spans="2:2">
      <c r="B361" s="17"/>
    </row>
    <row r="362" spans="2:2">
      <c r="B362" s="17"/>
    </row>
    <row r="363" spans="2:2">
      <c r="B363" s="17"/>
    </row>
    <row r="364" spans="2:2">
      <c r="B364" s="17"/>
    </row>
    <row r="365" spans="2:2">
      <c r="B365" s="17"/>
    </row>
    <row r="366" spans="2:2">
      <c r="B366" s="17"/>
    </row>
    <row r="367" spans="2:2">
      <c r="B367" s="17"/>
    </row>
    <row r="368" spans="2:2">
      <c r="B368" s="17"/>
    </row>
    <row r="369" spans="2:2">
      <c r="B369" s="17"/>
    </row>
    <row r="370" spans="2:2">
      <c r="B370" s="17"/>
    </row>
    <row r="371" spans="2:2">
      <c r="B371" s="17"/>
    </row>
    <row r="372" spans="2:2">
      <c r="B372" s="17"/>
    </row>
    <row r="373" spans="2:2">
      <c r="B373" s="17"/>
    </row>
    <row r="374" spans="2:2">
      <c r="B374" s="17"/>
    </row>
    <row r="375" spans="2:2">
      <c r="B375" s="17"/>
    </row>
    <row r="376" spans="2:2">
      <c r="B376" s="17"/>
    </row>
    <row r="377" spans="2:2">
      <c r="B377" s="17"/>
    </row>
    <row r="378" spans="2:2">
      <c r="B378" s="17"/>
    </row>
    <row r="379" spans="2:2">
      <c r="B379" s="17"/>
    </row>
    <row r="380" spans="2:2">
      <c r="B380" s="17"/>
    </row>
    <row r="381" spans="2:2">
      <c r="B381" s="17"/>
    </row>
    <row r="382" spans="2:2">
      <c r="B382" s="17"/>
    </row>
    <row r="383" spans="2:2">
      <c r="B383" s="17"/>
    </row>
    <row r="384" spans="2:2">
      <c r="B384" s="17"/>
    </row>
    <row r="385" spans="2:2">
      <c r="B385" s="17"/>
    </row>
    <row r="386" spans="2:2">
      <c r="B386" s="17"/>
    </row>
    <row r="387" spans="2:2">
      <c r="B387" s="17"/>
    </row>
    <row r="388" spans="2:2">
      <c r="B388" s="17"/>
    </row>
    <row r="389" spans="2:2">
      <c r="B389" s="17"/>
    </row>
    <row r="390" spans="2:2">
      <c r="B390" s="17"/>
    </row>
    <row r="391" spans="2:2">
      <c r="B391" s="17"/>
    </row>
    <row r="392" spans="2:2">
      <c r="B392" s="17"/>
    </row>
    <row r="393" spans="2:2">
      <c r="B393" s="17"/>
    </row>
    <row r="394" spans="2:2">
      <c r="B394" s="17"/>
    </row>
    <row r="395" spans="2:2">
      <c r="B395" s="17"/>
    </row>
    <row r="396" spans="2:2">
      <c r="B396" s="17"/>
    </row>
    <row r="397" spans="2:2">
      <c r="B397" s="17"/>
    </row>
    <row r="398" spans="2:2">
      <c r="B398" s="17"/>
    </row>
    <row r="399" spans="2:2">
      <c r="B399" s="17"/>
    </row>
    <row r="400" spans="2:2">
      <c r="B400" s="17"/>
    </row>
    <row r="401" spans="2:2">
      <c r="B401" s="17"/>
    </row>
    <row r="402" spans="2:2">
      <c r="B402" s="17"/>
    </row>
    <row r="403" spans="2:2">
      <c r="B403" s="17"/>
    </row>
    <row r="404" spans="2:2">
      <c r="B404" s="17"/>
    </row>
    <row r="405" spans="2:2">
      <c r="B405" s="17"/>
    </row>
    <row r="406" spans="2:2">
      <c r="B406" s="17"/>
    </row>
    <row r="407" spans="2:2">
      <c r="B407" s="17"/>
    </row>
    <row r="408" spans="2:2">
      <c r="B408" s="17"/>
    </row>
    <row r="409" spans="2:2">
      <c r="B409" s="17"/>
    </row>
    <row r="410" spans="2:2">
      <c r="B410" s="17"/>
    </row>
    <row r="411" spans="2:2">
      <c r="B411" s="17"/>
    </row>
    <row r="412" spans="2:2">
      <c r="B412" s="17"/>
    </row>
    <row r="413" spans="2:2">
      <c r="B413" s="17"/>
    </row>
    <row r="414" spans="2:2">
      <c r="B414" s="17"/>
    </row>
    <row r="415" spans="2:2">
      <c r="B415" s="17"/>
    </row>
    <row r="416" spans="2:2">
      <c r="B416" s="17"/>
    </row>
    <row r="417" spans="2:2">
      <c r="B417" s="17"/>
    </row>
    <row r="418" spans="2:2">
      <c r="B418" s="17"/>
    </row>
    <row r="419" spans="2:2">
      <c r="B419" s="17"/>
    </row>
    <row r="420" spans="2:2">
      <c r="B420" s="17"/>
    </row>
    <row r="421" spans="2:2">
      <c r="B421" s="17"/>
    </row>
    <row r="422" spans="2:2">
      <c r="B422" s="17"/>
    </row>
    <row r="423" spans="2:2">
      <c r="B423" s="17"/>
    </row>
    <row r="424" spans="2:2">
      <c r="B424" s="17"/>
    </row>
    <row r="425" spans="2:2">
      <c r="B425" s="17"/>
    </row>
    <row r="426" spans="2:2">
      <c r="B426" s="17"/>
    </row>
    <row r="427" spans="2:2">
      <c r="B427" s="17"/>
    </row>
    <row r="428" spans="2:2">
      <c r="B428" s="17"/>
    </row>
    <row r="429" spans="2:2">
      <c r="B429" s="17"/>
    </row>
    <row r="430" spans="2:2">
      <c r="B430" s="17"/>
    </row>
    <row r="431" spans="2:2">
      <c r="B431" s="17"/>
    </row>
    <row r="432" spans="2:2">
      <c r="B432" s="17"/>
    </row>
    <row r="433" spans="2:2">
      <c r="B433" s="17"/>
    </row>
    <row r="434" spans="2:2">
      <c r="B434" s="17"/>
    </row>
    <row r="435" spans="2:2">
      <c r="B435" s="17"/>
    </row>
    <row r="436" spans="2:2">
      <c r="B436" s="17"/>
    </row>
    <row r="437" spans="2:2">
      <c r="B437" s="17"/>
    </row>
    <row r="438" spans="2:2">
      <c r="B438" s="17"/>
    </row>
    <row r="439" spans="2:2">
      <c r="B439" s="17"/>
    </row>
    <row r="440" spans="2:2">
      <c r="B440" s="17"/>
    </row>
    <row r="441" spans="2:2">
      <c r="B441" s="17"/>
    </row>
    <row r="442" spans="2:2">
      <c r="B442" s="17"/>
    </row>
    <row r="443" spans="2:2">
      <c r="B443" s="17"/>
    </row>
    <row r="444" spans="2:2">
      <c r="B444" s="17"/>
    </row>
    <row r="445" spans="2:2">
      <c r="B445" s="17"/>
    </row>
    <row r="446" spans="2:2">
      <c r="B446" s="17"/>
    </row>
    <row r="447" spans="2:2">
      <c r="B447" s="17"/>
    </row>
    <row r="448" spans="2:2">
      <c r="B448" s="17"/>
    </row>
    <row r="449" spans="2:2">
      <c r="B449" s="17"/>
    </row>
    <row r="450" spans="2:2">
      <c r="B450" s="17"/>
    </row>
    <row r="451" spans="2:2">
      <c r="B451" s="17"/>
    </row>
    <row r="452" spans="2:2">
      <c r="B452" s="17"/>
    </row>
    <row r="453" spans="2:2">
      <c r="B453" s="17"/>
    </row>
    <row r="454" spans="2:2">
      <c r="B454" s="17"/>
    </row>
    <row r="455" spans="2:2">
      <c r="B455" s="17"/>
    </row>
    <row r="456" spans="2:2">
      <c r="B456" s="17"/>
    </row>
    <row r="457" spans="2:2">
      <c r="B457" s="17"/>
    </row>
    <row r="458" spans="2:2">
      <c r="B458" s="17"/>
    </row>
    <row r="459" spans="2:2">
      <c r="B459" s="17"/>
    </row>
    <row r="460" spans="2:2">
      <c r="B460" s="17"/>
    </row>
    <row r="461" spans="2:2">
      <c r="B461" s="17"/>
    </row>
    <row r="462" spans="2:2">
      <c r="B462" s="17"/>
    </row>
    <row r="463" spans="2:2">
      <c r="B463" s="17"/>
    </row>
    <row r="464" spans="2:2">
      <c r="B464" s="17"/>
    </row>
    <row r="465" spans="2:2">
      <c r="B465" s="17"/>
    </row>
    <row r="466" spans="2:2">
      <c r="B466" s="17"/>
    </row>
    <row r="467" spans="2:2">
      <c r="B467" s="17"/>
    </row>
    <row r="468" spans="2:2">
      <c r="B468" s="17"/>
    </row>
    <row r="469" spans="2:2">
      <c r="B469" s="17"/>
    </row>
    <row r="470" spans="2:2">
      <c r="B470" s="17"/>
    </row>
    <row r="471" spans="2:2">
      <c r="B471" s="17"/>
    </row>
    <row r="472" spans="2:2">
      <c r="B472" s="17"/>
    </row>
    <row r="473" spans="2:2">
      <c r="B473" s="17"/>
    </row>
    <row r="474" spans="2:2">
      <c r="B474" s="17"/>
    </row>
    <row r="475" spans="2:2">
      <c r="B475" s="17"/>
    </row>
    <row r="476" spans="2:2">
      <c r="B476" s="17"/>
    </row>
    <row r="477" spans="2:2">
      <c r="B477" s="17"/>
    </row>
    <row r="478" spans="2:2">
      <c r="B478" s="17"/>
    </row>
    <row r="479" spans="2:2">
      <c r="B479" s="17"/>
    </row>
    <row r="480" spans="2:2">
      <c r="B480" s="17"/>
    </row>
    <row r="481" spans="2:2">
      <c r="B481" s="17"/>
    </row>
    <row r="482" spans="2:2">
      <c r="B482" s="17"/>
    </row>
    <row r="483" spans="2:2">
      <c r="B483" s="17"/>
    </row>
    <row r="484" spans="2:2">
      <c r="B484" s="17"/>
    </row>
    <row r="485" spans="2:2">
      <c r="B485" s="17"/>
    </row>
    <row r="486" spans="2:2">
      <c r="B486" s="17"/>
    </row>
    <row r="487" spans="2:2">
      <c r="B487" s="17"/>
    </row>
    <row r="488" spans="2:2">
      <c r="B488" s="17"/>
    </row>
    <row r="489" spans="2:2">
      <c r="B489" s="17"/>
    </row>
    <row r="490" spans="2:2">
      <c r="B490" s="17"/>
    </row>
    <row r="491" spans="2:2">
      <c r="B491" s="17"/>
    </row>
    <row r="492" spans="2:2">
      <c r="B492" s="17"/>
    </row>
    <row r="493" spans="2:2">
      <c r="B493" s="17"/>
    </row>
    <row r="494" spans="2:2">
      <c r="B494" s="17"/>
    </row>
    <row r="495" spans="2:2">
      <c r="B495" s="17"/>
    </row>
    <row r="496" spans="2:2">
      <c r="B496" s="17"/>
    </row>
    <row r="497" spans="2:2">
      <c r="B497" s="17"/>
    </row>
    <row r="498" spans="2:2">
      <c r="B498" s="17"/>
    </row>
    <row r="499" spans="2:2">
      <c r="B499" s="17"/>
    </row>
    <row r="500" spans="2:2">
      <c r="B500" s="17"/>
    </row>
    <row r="501" spans="2:2">
      <c r="B501" s="17"/>
    </row>
    <row r="502" spans="2:2">
      <c r="B502" s="17"/>
    </row>
    <row r="503" spans="2:2">
      <c r="B503" s="17"/>
    </row>
    <row r="504" spans="2:2">
      <c r="B504" s="17"/>
    </row>
    <row r="505" spans="2:2">
      <c r="B505" s="17"/>
    </row>
    <row r="506" spans="2:2">
      <c r="B506" s="17"/>
    </row>
    <row r="507" spans="2:2">
      <c r="B507" s="17"/>
    </row>
    <row r="508" spans="2:2">
      <c r="B508" s="17"/>
    </row>
    <row r="509" spans="2:2">
      <c r="B509" s="17"/>
    </row>
    <row r="510" spans="2:2">
      <c r="B510" s="17"/>
    </row>
    <row r="511" spans="2:2">
      <c r="B511" s="17"/>
    </row>
    <row r="512" spans="2:2">
      <c r="B512" s="17"/>
    </row>
    <row r="513" spans="2:2">
      <c r="B513" s="17"/>
    </row>
    <row r="514" spans="2:2">
      <c r="B514" s="17"/>
    </row>
    <row r="515" spans="2:2">
      <c r="B515" s="17"/>
    </row>
    <row r="516" spans="2:2">
      <c r="B516" s="17"/>
    </row>
    <row r="517" spans="2:2">
      <c r="B517" s="17"/>
    </row>
    <row r="518" spans="2:2">
      <c r="B518" s="17"/>
    </row>
    <row r="519" spans="2:2">
      <c r="B519" s="17"/>
    </row>
    <row r="520" spans="2:2">
      <c r="B520" s="17"/>
    </row>
    <row r="521" spans="2:2">
      <c r="B521" s="17"/>
    </row>
    <row r="522" spans="2:2">
      <c r="B522" s="17"/>
    </row>
    <row r="523" spans="2:2">
      <c r="B523" s="17"/>
    </row>
    <row r="524" spans="2:2">
      <c r="B524" s="17"/>
    </row>
    <row r="525" spans="2:2">
      <c r="B525" s="17"/>
    </row>
    <row r="526" spans="2:2">
      <c r="B526" s="17"/>
    </row>
    <row r="527" spans="2:2">
      <c r="B527" s="17"/>
    </row>
    <row r="528" spans="2:2">
      <c r="B528" s="17"/>
    </row>
    <row r="529" spans="2:2">
      <c r="B529" s="17"/>
    </row>
    <row r="530" spans="2:2">
      <c r="B530" s="17"/>
    </row>
    <row r="531" spans="2:2">
      <c r="B531" s="17"/>
    </row>
    <row r="532" spans="2:2">
      <c r="B532" s="17"/>
    </row>
    <row r="533" spans="2:2">
      <c r="B533" s="17"/>
    </row>
    <row r="534" spans="2:2">
      <c r="B534" s="17"/>
    </row>
    <row r="535" spans="2:2">
      <c r="B535" s="17"/>
    </row>
    <row r="536" spans="2:2">
      <c r="B536" s="17"/>
    </row>
    <row r="537" spans="2:2">
      <c r="B537" s="17"/>
    </row>
    <row r="538" spans="2:2">
      <c r="B538" s="17"/>
    </row>
    <row r="539" spans="2:2">
      <c r="B539" s="17"/>
    </row>
    <row r="540" spans="2:2">
      <c r="B540" s="17"/>
    </row>
    <row r="541" spans="2:2">
      <c r="B541" s="17"/>
    </row>
    <row r="542" spans="2:2">
      <c r="B542" s="17"/>
    </row>
    <row r="543" spans="2:2">
      <c r="B543" s="17"/>
    </row>
    <row r="544" spans="2:2">
      <c r="B544" s="17"/>
    </row>
    <row r="545" spans="2:2">
      <c r="B545" s="17"/>
    </row>
    <row r="546" spans="2:2">
      <c r="B546" s="17"/>
    </row>
    <row r="547" spans="2:2">
      <c r="B547" s="17"/>
    </row>
    <row r="548" spans="2:2">
      <c r="B548" s="17"/>
    </row>
    <row r="549" spans="2:2">
      <c r="B549" s="17"/>
    </row>
    <row r="550" spans="2:2">
      <c r="B550" s="17"/>
    </row>
    <row r="551" spans="2:2">
      <c r="B551" s="17"/>
    </row>
    <row r="552" spans="2:2">
      <c r="B552" s="17"/>
    </row>
    <row r="553" spans="2:2">
      <c r="B553" s="17"/>
    </row>
    <row r="554" spans="2:2">
      <c r="B554" s="17"/>
    </row>
    <row r="555" spans="2:2">
      <c r="B555" s="17"/>
    </row>
    <row r="556" spans="2:2">
      <c r="B556" s="17"/>
    </row>
    <row r="557" spans="2:2">
      <c r="B557" s="17"/>
    </row>
    <row r="558" spans="2:2">
      <c r="B558" s="17"/>
    </row>
    <row r="559" spans="2:2">
      <c r="B559" s="17"/>
    </row>
    <row r="560" spans="2:2">
      <c r="B560" s="17"/>
    </row>
    <row r="561" spans="2:2">
      <c r="B561" s="17"/>
    </row>
    <row r="562" spans="2:2">
      <c r="B562" s="17"/>
    </row>
    <row r="563" spans="2:2">
      <c r="B563" s="17"/>
    </row>
    <row r="564" spans="2:2">
      <c r="B564" s="17"/>
    </row>
    <row r="565" spans="2:2">
      <c r="B565" s="17"/>
    </row>
    <row r="566" spans="2:2">
      <c r="B566" s="17"/>
    </row>
    <row r="567" spans="2:2">
      <c r="B567" s="17"/>
    </row>
    <row r="568" spans="2:2">
      <c r="B568" s="17"/>
    </row>
    <row r="569" spans="2:2">
      <c r="B569" s="17"/>
    </row>
    <row r="570" spans="2:2">
      <c r="B570" s="17"/>
    </row>
    <row r="571" spans="2:2">
      <c r="B571" s="17"/>
    </row>
    <row r="572" spans="2:2">
      <c r="B572" s="17"/>
    </row>
    <row r="573" spans="2:2">
      <c r="B573" s="17"/>
    </row>
    <row r="574" spans="2:2">
      <c r="B574" s="17"/>
    </row>
    <row r="575" spans="2:2">
      <c r="B575" s="17"/>
    </row>
    <row r="576" spans="2:2">
      <c r="B576" s="17"/>
    </row>
    <row r="577" spans="2:2">
      <c r="B577" s="17"/>
    </row>
    <row r="578" spans="2:2">
      <c r="B578" s="17"/>
    </row>
    <row r="579" spans="2:2">
      <c r="B579" s="17"/>
    </row>
    <row r="580" spans="2:2">
      <c r="B580" s="17"/>
    </row>
    <row r="581" spans="2:2">
      <c r="B581" s="17"/>
    </row>
    <row r="582" spans="2:2">
      <c r="B582" s="17"/>
    </row>
    <row r="583" spans="2:2">
      <c r="B583" s="17"/>
    </row>
    <row r="584" spans="2:2">
      <c r="B584" s="17"/>
    </row>
    <row r="585" spans="2:2">
      <c r="B585" s="17"/>
    </row>
    <row r="586" spans="2:2">
      <c r="B586" s="17"/>
    </row>
    <row r="587" spans="2:2">
      <c r="B587" s="17"/>
    </row>
    <row r="588" spans="2:2">
      <c r="B588" s="17"/>
    </row>
    <row r="589" spans="2:2">
      <c r="B589" s="17"/>
    </row>
    <row r="590" spans="2:2">
      <c r="B590" s="17"/>
    </row>
    <row r="591" spans="2:2">
      <c r="B591" s="17"/>
    </row>
    <row r="592" spans="2:2">
      <c r="B592" s="17"/>
    </row>
    <row r="593" spans="2:2">
      <c r="B593" s="17"/>
    </row>
    <row r="594" spans="2:2">
      <c r="B594" s="17"/>
    </row>
    <row r="595" spans="2:2">
      <c r="B595" s="17"/>
    </row>
    <row r="596" spans="2:2">
      <c r="B596" s="17"/>
    </row>
    <row r="597" spans="2:2">
      <c r="B597" s="17"/>
    </row>
    <row r="598" spans="2:2">
      <c r="B598" s="17"/>
    </row>
    <row r="599" spans="2:2">
      <c r="B599" s="17"/>
    </row>
    <row r="600" spans="2:2">
      <c r="B600" s="17"/>
    </row>
    <row r="601" spans="2:2">
      <c r="B601" s="17"/>
    </row>
    <row r="602" spans="2:2">
      <c r="B602" s="17"/>
    </row>
    <row r="603" spans="2:2">
      <c r="B603" s="17"/>
    </row>
    <row r="604" spans="2:2">
      <c r="B604" s="17"/>
    </row>
    <row r="605" spans="2:2">
      <c r="B605" s="17"/>
    </row>
    <row r="606" spans="2:2">
      <c r="B606" s="17"/>
    </row>
    <row r="607" spans="2:2">
      <c r="B607" s="17"/>
    </row>
    <row r="608" spans="2:2">
      <c r="B608" s="17"/>
    </row>
    <row r="609" spans="2:2">
      <c r="B609" s="17"/>
    </row>
    <row r="610" spans="2:2">
      <c r="B610" s="17"/>
    </row>
    <row r="611" spans="2:2">
      <c r="B611" s="17"/>
    </row>
    <row r="612" spans="2:2">
      <c r="B612" s="17"/>
    </row>
    <row r="613" spans="2:2">
      <c r="B613" s="17"/>
    </row>
    <row r="614" spans="2:2">
      <c r="B614" s="17"/>
    </row>
    <row r="615" spans="2:2">
      <c r="B615" s="17"/>
    </row>
    <row r="616" spans="2:2">
      <c r="B616" s="17"/>
    </row>
    <row r="617" spans="2:2">
      <c r="B617" s="17"/>
    </row>
    <row r="618" spans="2:2">
      <c r="B618" s="17"/>
    </row>
    <row r="619" spans="2:2">
      <c r="B619" s="17"/>
    </row>
    <row r="620" spans="2:2">
      <c r="B620" s="17"/>
    </row>
    <row r="621" spans="2:2">
      <c r="B621" s="17"/>
    </row>
    <row r="622" spans="2:2">
      <c r="B622" s="17"/>
    </row>
    <row r="623" spans="2:2">
      <c r="B623" s="17"/>
    </row>
    <row r="624" spans="2:2">
      <c r="B624" s="17"/>
    </row>
    <row r="625" spans="2:2">
      <c r="B625" s="17"/>
    </row>
    <row r="626" spans="2:2">
      <c r="B626" s="17"/>
    </row>
    <row r="627" spans="2:2">
      <c r="B627" s="17"/>
    </row>
    <row r="628" spans="2:2">
      <c r="B628" s="17"/>
    </row>
    <row r="629" spans="2:2">
      <c r="B629" s="17"/>
    </row>
    <row r="630" spans="2:2">
      <c r="B630" s="17"/>
    </row>
    <row r="631" spans="2:2">
      <c r="B631" s="17"/>
    </row>
    <row r="632" spans="2:2">
      <c r="B632" s="17"/>
    </row>
    <row r="633" spans="2:2">
      <c r="B633" s="17"/>
    </row>
    <row r="634" spans="2:2">
      <c r="B634" s="17"/>
    </row>
    <row r="635" spans="2:2">
      <c r="B635" s="17"/>
    </row>
    <row r="636" spans="2:2">
      <c r="B636" s="17"/>
    </row>
    <row r="637" spans="2:2">
      <c r="B637" s="17"/>
    </row>
    <row r="638" spans="2:2">
      <c r="B638" s="17"/>
    </row>
    <row r="639" spans="2:2">
      <c r="B639" s="17"/>
    </row>
    <row r="640" spans="2:2">
      <c r="B640" s="17"/>
    </row>
    <row r="641" spans="2:2">
      <c r="B641" s="17"/>
    </row>
    <row r="642" spans="2:2">
      <c r="B642" s="17"/>
    </row>
    <row r="643" spans="2:2">
      <c r="B643" s="17"/>
    </row>
    <row r="644" spans="2:2">
      <c r="B644" s="17"/>
    </row>
    <row r="645" spans="2:2">
      <c r="B645" s="17"/>
    </row>
    <row r="646" spans="2:2">
      <c r="B646" s="17"/>
    </row>
    <row r="647" spans="2:2">
      <c r="B647" s="17"/>
    </row>
    <row r="648" spans="2:2">
      <c r="B648" s="17"/>
    </row>
    <row r="649" spans="2:2">
      <c r="B649" s="17"/>
    </row>
    <row r="650" spans="2:2">
      <c r="B650" s="17"/>
    </row>
    <row r="651" spans="2:2">
      <c r="B651" s="17"/>
    </row>
    <row r="652" spans="2:2">
      <c r="B652" s="17"/>
    </row>
    <row r="653" spans="2:2">
      <c r="B653" s="17"/>
    </row>
    <row r="654" spans="2:2">
      <c r="B654" s="17"/>
    </row>
    <row r="655" spans="2:2">
      <c r="B655" s="17"/>
    </row>
    <row r="656" spans="2:2">
      <c r="B656" s="17"/>
    </row>
    <row r="657" spans="2:2">
      <c r="B657" s="17"/>
    </row>
    <row r="658" spans="2:2">
      <c r="B658" s="17"/>
    </row>
    <row r="659" spans="2:2">
      <c r="B659" s="17"/>
    </row>
    <row r="660" spans="2:2">
      <c r="B660" s="17"/>
    </row>
    <row r="661" spans="2:2">
      <c r="B661" s="17"/>
    </row>
    <row r="662" spans="2:2">
      <c r="B662" s="17"/>
    </row>
    <row r="663" spans="2:2">
      <c r="B663" s="17"/>
    </row>
    <row r="664" spans="2:2">
      <c r="B664" s="17"/>
    </row>
    <row r="665" spans="2:2">
      <c r="B665" s="17"/>
    </row>
    <row r="666" spans="2:2">
      <c r="B666" s="17"/>
    </row>
    <row r="667" spans="2:2">
      <c r="B667" s="17"/>
    </row>
    <row r="668" spans="2:2">
      <c r="B668" s="17"/>
    </row>
    <row r="669" spans="2:2">
      <c r="B669" s="17"/>
    </row>
    <row r="670" spans="2:2">
      <c r="B670" s="17"/>
    </row>
    <row r="671" spans="2:2">
      <c r="B671" s="17"/>
    </row>
    <row r="672" spans="2:2">
      <c r="B672" s="17"/>
    </row>
    <row r="673" spans="2:2">
      <c r="B673" s="17"/>
    </row>
    <row r="674" spans="2:2">
      <c r="B674" s="17"/>
    </row>
    <row r="675" spans="2:2">
      <c r="B675" s="17"/>
    </row>
    <row r="676" spans="2:2">
      <c r="B676" s="17"/>
    </row>
    <row r="677" spans="2:2">
      <c r="B677" s="17"/>
    </row>
    <row r="678" spans="2:2">
      <c r="B678" s="17"/>
    </row>
    <row r="679" spans="2:2">
      <c r="B679" s="17"/>
    </row>
    <row r="680" spans="2:2">
      <c r="B680" s="17"/>
    </row>
    <row r="681" spans="2:2">
      <c r="B681" s="17"/>
    </row>
    <row r="682" spans="2:2">
      <c r="B682" s="17"/>
    </row>
    <row r="683" spans="2:2">
      <c r="B683" s="17"/>
    </row>
    <row r="684" spans="2:2">
      <c r="B684" s="17"/>
    </row>
    <row r="685" spans="2:2">
      <c r="B685" s="17"/>
    </row>
    <row r="686" spans="2:2">
      <c r="B686" s="17"/>
    </row>
    <row r="687" spans="2:2">
      <c r="B687" s="17"/>
    </row>
    <row r="688" spans="2:2">
      <c r="B688" s="17"/>
    </row>
    <row r="689" spans="2:2">
      <c r="B689" s="17"/>
    </row>
    <row r="690" spans="2:2">
      <c r="B690" s="17"/>
    </row>
    <row r="691" spans="2:2">
      <c r="B691" s="17"/>
    </row>
    <row r="692" spans="2:2">
      <c r="B692" s="17"/>
    </row>
    <row r="693" spans="2:2">
      <c r="B693" s="17"/>
    </row>
    <row r="694" spans="2:2">
      <c r="B694" s="17"/>
    </row>
    <row r="695" spans="2:2">
      <c r="B695" s="17"/>
    </row>
    <row r="696" spans="2:2">
      <c r="B696" s="17"/>
    </row>
    <row r="697" spans="2:2">
      <c r="B697" s="17"/>
    </row>
    <row r="698" spans="2:2">
      <c r="B698" s="17"/>
    </row>
    <row r="699" spans="2:2">
      <c r="B699" s="17"/>
    </row>
    <row r="700" spans="2:2">
      <c r="B700" s="17"/>
    </row>
    <row r="701" spans="2:2">
      <c r="B701" s="17"/>
    </row>
    <row r="702" spans="2:2">
      <c r="B702" s="17"/>
    </row>
    <row r="703" spans="2:2">
      <c r="B703" s="17"/>
    </row>
    <row r="704" spans="2:2">
      <c r="B704" s="17"/>
    </row>
    <row r="705" spans="2:2">
      <c r="B705" s="17"/>
    </row>
    <row r="706" spans="2:2">
      <c r="B706" s="17"/>
    </row>
    <row r="707" spans="2:2">
      <c r="B707" s="17"/>
    </row>
    <row r="708" spans="2:2">
      <c r="B708" s="17"/>
    </row>
    <row r="709" spans="2:2">
      <c r="B709" s="17"/>
    </row>
    <row r="710" spans="2:2">
      <c r="B710" s="17"/>
    </row>
    <row r="711" spans="2:2">
      <c r="B711" s="17"/>
    </row>
    <row r="712" spans="2:2">
      <c r="B712" s="17"/>
    </row>
    <row r="713" spans="2:2">
      <c r="B713" s="17"/>
    </row>
    <row r="714" spans="2:2">
      <c r="B714" s="17"/>
    </row>
    <row r="715" spans="2:2">
      <c r="B715" s="17"/>
    </row>
    <row r="716" spans="2:2">
      <c r="B716" s="17"/>
    </row>
    <row r="717" spans="2:2">
      <c r="B717" s="17"/>
    </row>
    <row r="718" spans="2:2">
      <c r="B718" s="17"/>
    </row>
    <row r="719" spans="2:2">
      <c r="B719" s="17"/>
    </row>
    <row r="720" spans="2:2">
      <c r="B720" s="17"/>
    </row>
    <row r="721" spans="2:2">
      <c r="B721" s="17"/>
    </row>
    <row r="722" spans="2:2">
      <c r="B722" s="17"/>
    </row>
    <row r="723" spans="2:2">
      <c r="B723" s="17"/>
    </row>
    <row r="724" spans="2:2">
      <c r="B724" s="17"/>
    </row>
    <row r="725" spans="2:2">
      <c r="B725" s="17"/>
    </row>
    <row r="726" spans="2:2">
      <c r="B726" s="17"/>
    </row>
    <row r="727" spans="2:2">
      <c r="B727" s="17"/>
    </row>
    <row r="728" spans="2:2">
      <c r="B728" s="17"/>
    </row>
    <row r="729" spans="2:2">
      <c r="B729" s="17"/>
    </row>
    <row r="730" spans="2:2">
      <c r="B730" s="17"/>
    </row>
    <row r="731" spans="2:2">
      <c r="B731" s="17"/>
    </row>
    <row r="732" spans="2:2">
      <c r="B732" s="17"/>
    </row>
    <row r="733" spans="2:2">
      <c r="B733" s="17"/>
    </row>
    <row r="734" spans="2:2">
      <c r="B734" s="17"/>
    </row>
    <row r="735" spans="2:2">
      <c r="B735" s="17"/>
    </row>
    <row r="736" spans="2:2">
      <c r="B736" s="17"/>
    </row>
    <row r="737" spans="2:2">
      <c r="B737" s="17"/>
    </row>
    <row r="738" spans="2:2">
      <c r="B738" s="17"/>
    </row>
    <row r="739" spans="2:2">
      <c r="B739" s="17"/>
    </row>
    <row r="740" spans="2:2">
      <c r="B740" s="17"/>
    </row>
    <row r="741" spans="2:2">
      <c r="B741" s="17"/>
    </row>
    <row r="742" spans="2:2">
      <c r="B742" s="17"/>
    </row>
    <row r="743" spans="2:2">
      <c r="B743" s="17"/>
    </row>
    <row r="744" spans="2:2">
      <c r="B744" s="17"/>
    </row>
    <row r="745" spans="2:2">
      <c r="B745" s="17"/>
    </row>
    <row r="746" spans="2:2">
      <c r="B746" s="17"/>
    </row>
    <row r="747" spans="2:2">
      <c r="B747" s="17"/>
    </row>
    <row r="748" spans="2:2">
      <c r="B748" s="17"/>
    </row>
    <row r="749" spans="2:2">
      <c r="B749" s="17"/>
    </row>
    <row r="750" spans="2:2">
      <c r="B750" s="17"/>
    </row>
    <row r="751" spans="2:2">
      <c r="B751" s="17"/>
    </row>
    <row r="752" spans="2:2">
      <c r="B752" s="17"/>
    </row>
    <row r="753" spans="2:2">
      <c r="B753" s="17"/>
    </row>
    <row r="754" spans="2:2">
      <c r="B754" s="17"/>
    </row>
    <row r="755" spans="2:2">
      <c r="B755" s="17"/>
    </row>
    <row r="756" spans="2:2">
      <c r="B756" s="17"/>
    </row>
    <row r="757" spans="2:2">
      <c r="B757" s="17"/>
    </row>
    <row r="758" spans="2:2">
      <c r="B758" s="17"/>
    </row>
    <row r="759" spans="2:2">
      <c r="B759" s="17"/>
    </row>
    <row r="760" spans="2:2">
      <c r="B760" s="17"/>
    </row>
    <row r="761" spans="2:2">
      <c r="B761" s="17"/>
    </row>
    <row r="762" spans="2:2">
      <c r="B762" s="17"/>
    </row>
    <row r="763" spans="2:2">
      <c r="B763" s="17"/>
    </row>
    <row r="764" spans="2:2">
      <c r="B764" s="17"/>
    </row>
    <row r="765" spans="2:2">
      <c r="B765" s="17"/>
    </row>
    <row r="766" spans="2:2">
      <c r="B766" s="17"/>
    </row>
    <row r="767" spans="2:2">
      <c r="B767" s="17"/>
    </row>
    <row r="768" spans="2:2">
      <c r="B768" s="17"/>
    </row>
    <row r="769" spans="2:2">
      <c r="B769" s="17"/>
    </row>
    <row r="770" spans="2:2">
      <c r="B770" s="17"/>
    </row>
    <row r="771" spans="2:2">
      <c r="B771" s="17"/>
    </row>
    <row r="772" spans="2:2">
      <c r="B772" s="17"/>
    </row>
    <row r="773" spans="2:2">
      <c r="B773" s="17"/>
    </row>
    <row r="774" spans="2:2">
      <c r="B774" s="17"/>
    </row>
    <row r="775" spans="2:2">
      <c r="B775" s="17"/>
    </row>
    <row r="776" spans="2:2">
      <c r="B776" s="17"/>
    </row>
    <row r="777" spans="2:2">
      <c r="B777" s="17"/>
    </row>
    <row r="778" spans="2:2">
      <c r="B778" s="17"/>
    </row>
    <row r="779" spans="2:2">
      <c r="B779" s="17"/>
    </row>
    <row r="780" spans="2:2">
      <c r="B780" s="17"/>
    </row>
    <row r="781" spans="2:2">
      <c r="B781" s="17"/>
    </row>
    <row r="782" spans="2:2">
      <c r="B782" s="17"/>
    </row>
    <row r="783" spans="2:2">
      <c r="B783" s="17"/>
    </row>
    <row r="784" spans="2:2">
      <c r="B784" s="17"/>
    </row>
    <row r="785" spans="2:2">
      <c r="B785" s="17"/>
    </row>
    <row r="786" spans="2:2">
      <c r="B786" s="17"/>
    </row>
    <row r="787" spans="2:2">
      <c r="B787" s="17"/>
    </row>
    <row r="788" spans="2:2">
      <c r="B788" s="17"/>
    </row>
    <row r="789" spans="2:2">
      <c r="B789" s="17"/>
    </row>
    <row r="790" spans="2:2">
      <c r="B790" s="17"/>
    </row>
    <row r="791" spans="2:2">
      <c r="B791" s="17"/>
    </row>
    <row r="792" spans="2:2">
      <c r="B792" s="17"/>
    </row>
    <row r="793" spans="2:2">
      <c r="B793" s="17"/>
    </row>
    <row r="794" spans="2:2">
      <c r="B794" s="17"/>
    </row>
    <row r="795" spans="2:2">
      <c r="B795" s="17"/>
    </row>
    <row r="796" spans="2:2">
      <c r="B796" s="17"/>
    </row>
    <row r="797" spans="2:2">
      <c r="B797" s="17"/>
    </row>
    <row r="798" spans="2:2">
      <c r="B798" s="17"/>
    </row>
    <row r="799" spans="2:2">
      <c r="B799" s="17"/>
    </row>
    <row r="800" spans="2:2">
      <c r="B800" s="17"/>
    </row>
    <row r="801" spans="2:2">
      <c r="B801" s="17"/>
    </row>
    <row r="802" spans="2:2">
      <c r="B802" s="17"/>
    </row>
    <row r="803" spans="2:2">
      <c r="B803" s="17"/>
    </row>
    <row r="804" spans="2:2">
      <c r="B804" s="17"/>
    </row>
    <row r="805" spans="2:2">
      <c r="B805" s="17"/>
    </row>
    <row r="806" spans="2:2">
      <c r="B806" s="17"/>
    </row>
    <row r="807" spans="2:2">
      <c r="B807" s="17"/>
    </row>
    <row r="808" spans="2:2">
      <c r="B808" s="17"/>
    </row>
    <row r="809" spans="2:2">
      <c r="B809" s="17"/>
    </row>
    <row r="810" spans="2:2">
      <c r="B810" s="17"/>
    </row>
    <row r="811" spans="2:2">
      <c r="B811" s="17"/>
    </row>
    <row r="812" spans="2:2">
      <c r="B812" s="17"/>
    </row>
    <row r="813" spans="2:2">
      <c r="B813" s="17"/>
    </row>
    <row r="814" spans="2:2">
      <c r="B814" s="17"/>
    </row>
    <row r="815" spans="2:2">
      <c r="B815" s="17"/>
    </row>
    <row r="816" spans="2:2">
      <c r="B816" s="17"/>
    </row>
    <row r="817" spans="2:2">
      <c r="B817" s="17"/>
    </row>
    <row r="818" spans="2:2">
      <c r="B818" s="17"/>
    </row>
    <row r="819" spans="2:2">
      <c r="B819" s="17"/>
    </row>
    <row r="820" spans="2:2">
      <c r="B820" s="17"/>
    </row>
    <row r="821" spans="2:2">
      <c r="B821" s="17"/>
    </row>
    <row r="822" spans="2:2">
      <c r="B822" s="17"/>
    </row>
    <row r="823" spans="2:2">
      <c r="B823" s="17"/>
    </row>
    <row r="824" spans="2:2">
      <c r="B824" s="17"/>
    </row>
    <row r="825" spans="2:2">
      <c r="B825" s="17"/>
    </row>
    <row r="826" spans="2:2">
      <c r="B826" s="17"/>
    </row>
    <row r="827" spans="2:2">
      <c r="B827" s="17"/>
    </row>
    <row r="828" spans="2:2">
      <c r="B828" s="17"/>
    </row>
    <row r="829" spans="2:2">
      <c r="B829" s="17"/>
    </row>
    <row r="830" spans="2:2">
      <c r="B830" s="17"/>
    </row>
    <row r="831" spans="2:2">
      <c r="B831" s="17"/>
    </row>
    <row r="832" spans="2:2">
      <c r="B832" s="17"/>
    </row>
    <row r="833" spans="2:2">
      <c r="B833" s="17"/>
    </row>
    <row r="834" spans="2:2">
      <c r="B834" s="17"/>
    </row>
    <row r="835" spans="2:2">
      <c r="B835" s="17"/>
    </row>
    <row r="836" spans="2:2">
      <c r="B836" s="17"/>
    </row>
    <row r="837" spans="2:2">
      <c r="B837" s="17"/>
    </row>
    <row r="838" spans="2:2">
      <c r="B838" s="17"/>
    </row>
    <row r="839" spans="2:2">
      <c r="B839" s="17"/>
    </row>
    <row r="840" spans="2:2">
      <c r="B840" s="17"/>
    </row>
    <row r="841" spans="2:2">
      <c r="B841" s="17"/>
    </row>
    <row r="842" spans="2:2">
      <c r="B842" s="17"/>
    </row>
    <row r="843" spans="2:2">
      <c r="B843" s="17"/>
    </row>
    <row r="844" spans="2:2">
      <c r="B844" s="17"/>
    </row>
    <row r="845" spans="2:2">
      <c r="B845" s="17"/>
    </row>
    <row r="846" spans="2:2">
      <c r="B846" s="17"/>
    </row>
    <row r="847" spans="2:2">
      <c r="B847" s="17"/>
    </row>
    <row r="848" spans="2:2">
      <c r="B848" s="17"/>
    </row>
    <row r="849" spans="2:2">
      <c r="B849" s="17"/>
    </row>
    <row r="850" spans="2:2">
      <c r="B850" s="17"/>
    </row>
    <row r="851" spans="2:2">
      <c r="B851" s="17"/>
    </row>
    <row r="852" spans="2:2">
      <c r="B852" s="17"/>
    </row>
    <row r="853" spans="2:2">
      <c r="B853" s="17"/>
    </row>
    <row r="854" spans="2:2">
      <c r="B854" s="17"/>
    </row>
    <row r="855" spans="2:2">
      <c r="B855" s="17"/>
    </row>
    <row r="856" spans="2:2">
      <c r="B856" s="17"/>
    </row>
    <row r="857" spans="2:2">
      <c r="B857" s="17"/>
    </row>
    <row r="858" spans="2:2">
      <c r="B858" s="17"/>
    </row>
    <row r="859" spans="2:2">
      <c r="B859" s="17"/>
    </row>
    <row r="860" spans="2:2">
      <c r="B860" s="17"/>
    </row>
    <row r="861" spans="2:2">
      <c r="B861" s="17"/>
    </row>
    <row r="862" spans="2:2">
      <c r="B862" s="17"/>
    </row>
    <row r="863" spans="2:2">
      <c r="B863" s="17"/>
    </row>
    <row r="864" spans="2:2">
      <c r="B864" s="17"/>
    </row>
    <row r="865" spans="2:2">
      <c r="B865" s="17"/>
    </row>
    <row r="866" spans="2:2">
      <c r="B866" s="17"/>
    </row>
    <row r="867" spans="2:2">
      <c r="B867" s="17"/>
    </row>
    <row r="868" spans="2:2">
      <c r="B868" s="17"/>
    </row>
    <row r="869" spans="2:2">
      <c r="B869" s="17"/>
    </row>
    <row r="870" spans="2:2">
      <c r="B870" s="17"/>
    </row>
    <row r="871" spans="2:2">
      <c r="B871" s="17"/>
    </row>
    <row r="872" spans="2:2">
      <c r="B872" s="17"/>
    </row>
    <row r="873" spans="2:2">
      <c r="B873" s="17"/>
    </row>
    <row r="874" spans="2:2">
      <c r="B874" s="17"/>
    </row>
    <row r="875" spans="2:2">
      <c r="B875" s="17"/>
    </row>
    <row r="876" spans="2:2">
      <c r="B876" s="17"/>
    </row>
    <row r="877" spans="2:2">
      <c r="B877" s="17"/>
    </row>
    <row r="878" spans="2:2">
      <c r="B878" s="17"/>
    </row>
    <row r="879" spans="2:2">
      <c r="B879" s="17"/>
    </row>
    <row r="880" spans="2:2">
      <c r="B880" s="17"/>
    </row>
    <row r="881" spans="2:2">
      <c r="B881" s="17"/>
    </row>
    <row r="882" spans="2:2">
      <c r="B882" s="17"/>
    </row>
    <row r="883" spans="2:2">
      <c r="B883" s="17"/>
    </row>
    <row r="884" spans="2:2">
      <c r="B884" s="17"/>
    </row>
    <row r="885" spans="2:2">
      <c r="B885" s="17"/>
    </row>
    <row r="886" spans="2:2">
      <c r="B886" s="17"/>
    </row>
    <row r="887" spans="2:2">
      <c r="B887" s="17"/>
    </row>
    <row r="888" spans="2:2">
      <c r="B888" s="17"/>
    </row>
    <row r="889" spans="2:2">
      <c r="B889" s="17"/>
    </row>
    <row r="890" spans="2:2">
      <c r="B890" s="17"/>
    </row>
    <row r="891" spans="2:2">
      <c r="B891" s="17"/>
    </row>
    <row r="892" spans="2:2">
      <c r="B892" s="17"/>
    </row>
    <row r="893" spans="2:2">
      <c r="B893" s="17"/>
    </row>
    <row r="894" spans="2:2">
      <c r="B894" s="17"/>
    </row>
    <row r="895" spans="2:2">
      <c r="B895" s="17"/>
    </row>
    <row r="896" spans="2:2">
      <c r="B896" s="17"/>
    </row>
    <row r="897" spans="2:2">
      <c r="B897" s="17"/>
    </row>
    <row r="898" spans="2:2">
      <c r="B898" s="17"/>
    </row>
    <row r="899" spans="2:2">
      <c r="B899" s="17"/>
    </row>
    <row r="900" spans="2:2">
      <c r="B900" s="17"/>
    </row>
    <row r="901" spans="2:2">
      <c r="B901" s="17"/>
    </row>
    <row r="902" spans="2:2">
      <c r="B902" s="17"/>
    </row>
    <row r="903" spans="2:2">
      <c r="B903" s="17"/>
    </row>
    <row r="904" spans="2:2">
      <c r="B904" s="17"/>
    </row>
    <row r="905" spans="2:2">
      <c r="B905" s="17"/>
    </row>
    <row r="906" spans="2:2">
      <c r="B906" s="17"/>
    </row>
    <row r="907" spans="2:2">
      <c r="B907" s="17"/>
    </row>
    <row r="908" spans="2:2">
      <c r="B908" s="17"/>
    </row>
    <row r="909" spans="2:2">
      <c r="B909" s="17"/>
    </row>
    <row r="910" spans="2:2">
      <c r="B910" s="17"/>
    </row>
    <row r="911" spans="2:2">
      <c r="B911" s="17"/>
    </row>
    <row r="912" spans="2:2">
      <c r="B912" s="17"/>
    </row>
    <row r="913" spans="2:2">
      <c r="B913" s="17"/>
    </row>
    <row r="914" spans="2:2">
      <c r="B914" s="17"/>
    </row>
    <row r="915" spans="2:2">
      <c r="B915" s="17"/>
    </row>
    <row r="916" spans="2:2">
      <c r="B916" s="17"/>
    </row>
    <row r="917" spans="2:2">
      <c r="B917" s="17"/>
    </row>
    <row r="918" spans="2:2">
      <c r="B918" s="17"/>
    </row>
    <row r="919" spans="2:2">
      <c r="B919" s="17"/>
    </row>
    <row r="920" spans="2:2">
      <c r="B920" s="17"/>
    </row>
    <row r="921" spans="2:2">
      <c r="B921" s="17"/>
    </row>
    <row r="922" spans="2:2">
      <c r="B922" s="17"/>
    </row>
    <row r="923" spans="2:2">
      <c r="B923" s="17"/>
    </row>
    <row r="924" spans="2:2">
      <c r="B924" s="17"/>
    </row>
    <row r="925" spans="2:2">
      <c r="B925" s="17"/>
    </row>
    <row r="926" spans="2:2">
      <c r="B926" s="17"/>
    </row>
    <row r="927" spans="2:2">
      <c r="B927" s="17"/>
    </row>
    <row r="928" spans="2:2">
      <c r="B928" s="17"/>
    </row>
    <row r="929" spans="2:2">
      <c r="B929" s="17"/>
    </row>
    <row r="930" spans="2:2">
      <c r="B930" s="17"/>
    </row>
    <row r="931" spans="2:2">
      <c r="B931" s="17"/>
    </row>
    <row r="932" spans="2:2">
      <c r="B932" s="17"/>
    </row>
    <row r="933" spans="2:2">
      <c r="B933" s="17"/>
    </row>
    <row r="934" spans="2:2">
      <c r="B934" s="17"/>
    </row>
    <row r="935" spans="2:2">
      <c r="B935" s="17"/>
    </row>
    <row r="936" spans="2:2">
      <c r="B936" s="17"/>
    </row>
    <row r="937" spans="2:2">
      <c r="B937" s="17"/>
    </row>
    <row r="938" spans="2:2">
      <c r="B938" s="17"/>
    </row>
    <row r="939" spans="2:2">
      <c r="B939" s="17"/>
    </row>
    <row r="940" spans="2:2">
      <c r="B940" s="17"/>
    </row>
    <row r="941" spans="2:2">
      <c r="B941" s="17"/>
    </row>
    <row r="942" spans="2:2">
      <c r="B942" s="17"/>
    </row>
    <row r="943" spans="2:2">
      <c r="B943" s="17"/>
    </row>
    <row r="944" spans="2:2">
      <c r="B944" s="17"/>
    </row>
    <row r="945" spans="2:2">
      <c r="B945" s="17"/>
    </row>
    <row r="946" spans="2:2">
      <c r="B946" s="17"/>
    </row>
    <row r="947" spans="2:2">
      <c r="B947" s="17"/>
    </row>
    <row r="948" spans="2:2">
      <c r="B948" s="17"/>
    </row>
    <row r="949" spans="2:2">
      <c r="B949" s="17"/>
    </row>
    <row r="950" spans="2:2">
      <c r="B950" s="17"/>
    </row>
    <row r="951" spans="2:2">
      <c r="B951" s="17"/>
    </row>
    <row r="952" spans="2:2">
      <c r="B952" s="17"/>
    </row>
    <row r="953" spans="2:2">
      <c r="B953" s="17"/>
    </row>
    <row r="954" spans="2:2">
      <c r="B954" s="17"/>
    </row>
    <row r="955" spans="2:2">
      <c r="B955" s="17"/>
    </row>
    <row r="956" spans="2:2">
      <c r="B956" s="17"/>
    </row>
    <row r="957" spans="2:2">
      <c r="B957" s="17"/>
    </row>
    <row r="958" spans="2:2">
      <c r="B958" s="17"/>
    </row>
    <row r="959" spans="2:2">
      <c r="B959" s="17"/>
    </row>
    <row r="960" spans="2:2">
      <c r="B960" s="17"/>
    </row>
    <row r="961" spans="2:2">
      <c r="B961" s="17"/>
    </row>
    <row r="962" spans="2:2">
      <c r="B962" s="17"/>
    </row>
    <row r="963" spans="2:2">
      <c r="B963" s="17"/>
    </row>
    <row r="964" spans="2:2">
      <c r="B964" s="17"/>
    </row>
    <row r="965" spans="2:2">
      <c r="B965" s="17"/>
    </row>
    <row r="966" spans="2:2">
      <c r="B966" s="17"/>
    </row>
    <row r="967" spans="2:2">
      <c r="B967" s="17"/>
    </row>
    <row r="968" spans="2:2">
      <c r="B968" s="17"/>
    </row>
    <row r="969" spans="2:2">
      <c r="B969" s="17"/>
    </row>
    <row r="970" spans="2:2">
      <c r="B970" s="17"/>
    </row>
    <row r="971" spans="2:2">
      <c r="B971" s="17"/>
    </row>
    <row r="972" spans="2:2">
      <c r="B972" s="17"/>
    </row>
    <row r="973" spans="2:2">
      <c r="B973" s="17"/>
    </row>
    <row r="974" spans="2:2">
      <c r="B974" s="17"/>
    </row>
    <row r="975" spans="2:2">
      <c r="B975" s="17"/>
    </row>
    <row r="976" spans="2:2">
      <c r="B976" s="17"/>
    </row>
    <row r="977" spans="2:2">
      <c r="B977" s="17"/>
    </row>
    <row r="978" spans="2:2">
      <c r="B978" s="17"/>
    </row>
    <row r="979" spans="2:2">
      <c r="B979" s="17"/>
    </row>
    <row r="980" spans="2:2">
      <c r="B980" s="17"/>
    </row>
    <row r="981" spans="2:2">
      <c r="B981" s="17"/>
    </row>
    <row r="982" spans="2:2">
      <c r="B982" s="17"/>
    </row>
    <row r="983" spans="2:2">
      <c r="B983" s="17"/>
    </row>
    <row r="984" spans="2:2">
      <c r="B984" s="17"/>
    </row>
    <row r="985" spans="2:2">
      <c r="B985" s="17"/>
    </row>
    <row r="986" spans="2:2">
      <c r="B986" s="17"/>
    </row>
    <row r="987" spans="2:2">
      <c r="B987" s="17"/>
    </row>
    <row r="988" spans="2:2">
      <c r="B988" s="17"/>
    </row>
    <row r="989" spans="2:2">
      <c r="B989" s="17"/>
    </row>
    <row r="990" spans="2:2">
      <c r="B990" s="17"/>
    </row>
    <row r="991" spans="2:2">
      <c r="B991" s="17"/>
    </row>
    <row r="992" spans="2:2">
      <c r="B992" s="17"/>
    </row>
    <row r="993" spans="2:2">
      <c r="B993" s="17"/>
    </row>
    <row r="994" spans="2:2">
      <c r="B994" s="17"/>
    </row>
    <row r="995" spans="2:2">
      <c r="B995" s="17"/>
    </row>
    <row r="996" spans="2:2">
      <c r="B996" s="17"/>
    </row>
    <row r="997" spans="2:2">
      <c r="B997" s="17"/>
    </row>
    <row r="998" spans="2:2">
      <c r="B998" s="17"/>
    </row>
    <row r="999" spans="2:2">
      <c r="B999" s="17"/>
    </row>
    <row r="1000" spans="2:2">
      <c r="B1000" s="17"/>
    </row>
    <row r="1001" spans="2:2">
      <c r="B1001" s="17"/>
    </row>
    <row r="1002" spans="2:2">
      <c r="B1002" s="17"/>
    </row>
    <row r="1003" spans="2:2">
      <c r="B1003" s="17"/>
    </row>
    <row r="1004" spans="2:2">
      <c r="B1004" s="17"/>
    </row>
    <row r="1005" spans="2:2">
      <c r="B1005" s="17"/>
    </row>
    <row r="1006" spans="2:2">
      <c r="B1006" s="17"/>
    </row>
    <row r="1007" spans="2:2">
      <c r="B1007" s="17"/>
    </row>
    <row r="1008" spans="2:2">
      <c r="B1008" s="17"/>
    </row>
    <row r="1009" spans="2:2">
      <c r="B1009" s="17"/>
    </row>
    <row r="1010" spans="2:2">
      <c r="B1010" s="17"/>
    </row>
    <row r="1011" spans="2:2">
      <c r="B1011" s="17"/>
    </row>
    <row r="1012" spans="2:2">
      <c r="B1012" s="17"/>
    </row>
    <row r="1013" spans="2:2">
      <c r="B1013" s="17"/>
    </row>
    <row r="1014" spans="2:2">
      <c r="B1014" s="17"/>
    </row>
    <row r="1015" spans="2:2">
      <c r="B1015" s="17"/>
    </row>
    <row r="1016" spans="2:2">
      <c r="B1016" s="17"/>
    </row>
    <row r="1017" spans="2:2">
      <c r="B1017" s="17"/>
    </row>
    <row r="1018" spans="2:2">
      <c r="B1018" s="17"/>
    </row>
    <row r="1019" spans="2:2">
      <c r="B1019" s="17"/>
    </row>
    <row r="1020" spans="2:2">
      <c r="B1020" s="17"/>
    </row>
    <row r="1021" spans="2:2">
      <c r="B1021" s="17"/>
    </row>
    <row r="1022" spans="2:2">
      <c r="B1022" s="17"/>
    </row>
    <row r="1023" spans="2:2">
      <c r="B1023" s="17"/>
    </row>
    <row r="1024" spans="2:2">
      <c r="B1024" s="17"/>
    </row>
    <row r="1025" spans="2:2">
      <c r="B1025" s="17"/>
    </row>
    <row r="1026" spans="2:2">
      <c r="B1026" s="17"/>
    </row>
    <row r="1027" spans="2:2">
      <c r="B1027" s="17"/>
    </row>
    <row r="1028" spans="2:2">
      <c r="B1028" s="17"/>
    </row>
    <row r="1029" spans="2:2">
      <c r="B1029" s="17"/>
    </row>
    <row r="1030" spans="2:2">
      <c r="B1030" s="17"/>
    </row>
    <row r="1031" spans="2:2">
      <c r="B1031" s="17"/>
    </row>
    <row r="1032" spans="2:2">
      <c r="B1032" s="17"/>
    </row>
    <row r="1033" spans="2:2">
      <c r="B1033" s="17"/>
    </row>
    <row r="1034" spans="2:2">
      <c r="B1034" s="17"/>
    </row>
    <row r="1035" spans="2:2">
      <c r="B1035" s="17"/>
    </row>
    <row r="1036" spans="2:2">
      <c r="B1036" s="17"/>
    </row>
    <row r="1037" spans="2:2">
      <c r="B1037" s="17"/>
    </row>
    <row r="1038" spans="2:2">
      <c r="B1038" s="17"/>
    </row>
    <row r="1039" spans="2:2">
      <c r="B1039" s="17"/>
    </row>
    <row r="1040" spans="2:2">
      <c r="B1040" s="17"/>
    </row>
    <row r="1041" spans="2:2">
      <c r="B1041" s="17"/>
    </row>
    <row r="1042" spans="2:2">
      <c r="B1042" s="17"/>
    </row>
    <row r="1043" spans="2:2">
      <c r="B1043" s="17"/>
    </row>
    <row r="1044" spans="2:2">
      <c r="B1044" s="17"/>
    </row>
    <row r="1045" spans="2:2">
      <c r="B1045" s="17"/>
    </row>
    <row r="1046" spans="2:2">
      <c r="B1046" s="17"/>
    </row>
    <row r="1047" spans="2:2">
      <c r="B1047" s="17"/>
    </row>
    <row r="1048" spans="2:2">
      <c r="B1048" s="17"/>
    </row>
    <row r="1049" spans="2:2">
      <c r="B1049" s="17"/>
    </row>
    <row r="1050" spans="2:2">
      <c r="B1050" s="17"/>
    </row>
    <row r="1051" spans="2:2">
      <c r="B1051" s="17"/>
    </row>
    <row r="1052" spans="2:2">
      <c r="B1052" s="17"/>
    </row>
    <row r="1053" spans="2:2">
      <c r="B1053" s="17"/>
    </row>
    <row r="1054" spans="2:2">
      <c r="B1054" s="17"/>
    </row>
    <row r="1055" spans="2:2">
      <c r="B1055" s="17"/>
    </row>
    <row r="1056" spans="2:2">
      <c r="B1056" s="17"/>
    </row>
    <row r="1057" spans="2:2">
      <c r="B1057" s="17"/>
    </row>
    <row r="1058" spans="2:2">
      <c r="B1058" s="17"/>
    </row>
    <row r="1059" spans="2:2">
      <c r="B1059" s="17"/>
    </row>
    <row r="1060" spans="2:2">
      <c r="B1060" s="17"/>
    </row>
    <row r="1061" spans="2:2">
      <c r="B1061" s="17"/>
    </row>
    <row r="1062" spans="2:2">
      <c r="B1062" s="17"/>
    </row>
    <row r="1063" spans="2:2">
      <c r="B1063" s="17"/>
    </row>
    <row r="1064" spans="2:2">
      <c r="B1064" s="17"/>
    </row>
    <row r="1065" spans="2:2">
      <c r="B1065" s="17"/>
    </row>
    <row r="1066" spans="2:2">
      <c r="B1066" s="17"/>
    </row>
    <row r="1067" spans="2:2">
      <c r="B1067" s="17"/>
    </row>
    <row r="1068" spans="2:2">
      <c r="B1068" s="17"/>
    </row>
    <row r="1069" spans="2:2">
      <c r="B1069" s="17"/>
    </row>
    <row r="1070" spans="2:2">
      <c r="B1070" s="17"/>
    </row>
    <row r="1071" spans="2:2">
      <c r="B1071" s="17"/>
    </row>
    <row r="1072" spans="2:2">
      <c r="B1072" s="17"/>
    </row>
    <row r="1073" spans="2:2">
      <c r="B1073" s="17"/>
    </row>
    <row r="1074" spans="2:2">
      <c r="B1074" s="17"/>
    </row>
    <row r="1075" spans="2:2">
      <c r="B1075" s="17"/>
    </row>
    <row r="1076" spans="2:2">
      <c r="B1076" s="17"/>
    </row>
    <row r="1077" spans="2:2">
      <c r="B1077" s="17"/>
    </row>
    <row r="1078" spans="2:2">
      <c r="B1078" s="17"/>
    </row>
    <row r="1079" spans="2:2">
      <c r="B1079" s="17"/>
    </row>
    <row r="1080" spans="2:2">
      <c r="B1080" s="17"/>
    </row>
    <row r="1081" spans="2:2">
      <c r="B1081" s="17"/>
    </row>
    <row r="1082" spans="2:2">
      <c r="B1082" s="17"/>
    </row>
    <row r="1083" spans="2:2">
      <c r="B1083" s="17"/>
    </row>
    <row r="1084" spans="2:2">
      <c r="B1084" s="17"/>
    </row>
    <row r="1085" spans="2:2">
      <c r="B1085" s="17"/>
    </row>
    <row r="1086" spans="2:2">
      <c r="B1086" s="17"/>
    </row>
    <row r="1087" spans="2:2">
      <c r="B1087" s="17"/>
    </row>
    <row r="1088" spans="2:2">
      <c r="B1088" s="17"/>
    </row>
    <row r="1089" spans="2:2">
      <c r="B1089" s="17"/>
    </row>
    <row r="1090" spans="2:2">
      <c r="B1090" s="17"/>
    </row>
    <row r="1091" spans="2:2">
      <c r="B1091" s="17"/>
    </row>
    <row r="1092" spans="2:2">
      <c r="B1092" s="17"/>
    </row>
    <row r="1093" spans="2:2">
      <c r="B1093" s="17"/>
    </row>
    <row r="1094" spans="2:2">
      <c r="B1094" s="17"/>
    </row>
    <row r="1095" spans="2:2">
      <c r="B1095" s="17"/>
    </row>
    <row r="1096" spans="2:2">
      <c r="B1096" s="17"/>
    </row>
    <row r="1097" spans="2:2">
      <c r="B1097" s="17"/>
    </row>
    <row r="1098" spans="2:2">
      <c r="B1098" s="17"/>
    </row>
    <row r="1099" spans="2:2">
      <c r="B1099" s="17"/>
    </row>
    <row r="1100" spans="2:2">
      <c r="B1100" s="17"/>
    </row>
    <row r="1101" spans="2:2">
      <c r="B1101" s="17"/>
    </row>
    <row r="1102" spans="2:2">
      <c r="B1102" s="17"/>
    </row>
    <row r="1103" spans="2:2">
      <c r="B1103" s="17"/>
    </row>
    <row r="1104" spans="2:2">
      <c r="B1104" s="17"/>
    </row>
    <row r="1105" spans="2:2">
      <c r="B1105" s="17"/>
    </row>
    <row r="1106" spans="2:2">
      <c r="B1106" s="17"/>
    </row>
    <row r="1107" spans="2:2">
      <c r="B1107" s="17"/>
    </row>
    <row r="1108" spans="2:2">
      <c r="B1108" s="17"/>
    </row>
    <row r="1109" spans="2:2">
      <c r="B1109" s="17"/>
    </row>
    <row r="1110" spans="2:2">
      <c r="B1110" s="17"/>
    </row>
    <row r="1111" spans="2:2">
      <c r="B1111" s="17"/>
    </row>
    <row r="1112" spans="2:2">
      <c r="B1112" s="17"/>
    </row>
    <row r="1113" spans="2:2">
      <c r="B1113" s="17"/>
    </row>
    <row r="1114" spans="2:2">
      <c r="B1114" s="17"/>
    </row>
    <row r="1115" spans="2:2">
      <c r="B1115" s="17"/>
    </row>
    <row r="1116" spans="2:2">
      <c r="B1116" s="17"/>
    </row>
    <row r="1117" spans="2:2">
      <c r="B1117" s="17"/>
    </row>
    <row r="1118" spans="2:2">
      <c r="B1118" s="17"/>
    </row>
    <row r="1119" spans="2:2">
      <c r="B1119" s="17"/>
    </row>
    <row r="1120" spans="2:2">
      <c r="B1120" s="17"/>
    </row>
    <row r="1121" spans="2:2">
      <c r="B1121" s="17"/>
    </row>
    <row r="1122" spans="2:2">
      <c r="B1122" s="17"/>
    </row>
    <row r="1123" spans="2:2">
      <c r="B1123" s="17"/>
    </row>
    <row r="1124" spans="2:2">
      <c r="B1124" s="17"/>
    </row>
    <row r="1125" spans="2:2">
      <c r="B1125" s="17"/>
    </row>
    <row r="1126" spans="2:2">
      <c r="B1126" s="17"/>
    </row>
    <row r="1127" spans="2:2">
      <c r="B1127" s="17"/>
    </row>
    <row r="1128" spans="2:2">
      <c r="B1128" s="17"/>
    </row>
    <row r="1129" spans="2:2">
      <c r="B1129" s="17"/>
    </row>
    <row r="1130" spans="2:2">
      <c r="B1130" s="17"/>
    </row>
    <row r="1131" spans="2:2">
      <c r="B1131" s="17"/>
    </row>
    <row r="1132" spans="2:2">
      <c r="B1132" s="17"/>
    </row>
    <row r="1133" spans="2:2">
      <c r="B1133" s="17"/>
    </row>
    <row r="1134" spans="2:2">
      <c r="B1134" s="17"/>
    </row>
    <row r="1135" spans="2:2">
      <c r="B1135" s="17"/>
    </row>
    <row r="1136" spans="2:2">
      <c r="B1136" s="17"/>
    </row>
    <row r="1137" spans="2:2">
      <c r="B1137" s="17"/>
    </row>
    <row r="1138" spans="2:2">
      <c r="B1138" s="17"/>
    </row>
    <row r="1139" spans="2:2">
      <c r="B1139" s="17"/>
    </row>
    <row r="1140" spans="2:2">
      <c r="B1140" s="17"/>
    </row>
    <row r="1141" spans="2:2">
      <c r="B1141" s="17"/>
    </row>
    <row r="1142" spans="2:2">
      <c r="B1142" s="17"/>
    </row>
    <row r="1143" spans="2:2">
      <c r="B1143" s="17"/>
    </row>
    <row r="1144" spans="2:2">
      <c r="B1144" s="17"/>
    </row>
    <row r="1145" spans="2:2">
      <c r="B1145" s="17"/>
    </row>
    <row r="1146" spans="2:2">
      <c r="B1146" s="17"/>
    </row>
    <row r="1147" spans="2:2">
      <c r="B1147" s="17"/>
    </row>
    <row r="1148" spans="2:2">
      <c r="B1148" s="17"/>
    </row>
    <row r="1149" spans="2:2">
      <c r="B1149" s="17"/>
    </row>
    <row r="1150" spans="2:2">
      <c r="B1150" s="17"/>
    </row>
    <row r="1151" spans="2:2">
      <c r="B1151" s="17"/>
    </row>
    <row r="1152" spans="2:2">
      <c r="B1152" s="17"/>
    </row>
    <row r="1153" spans="2:2">
      <c r="B1153" s="17"/>
    </row>
    <row r="1154" spans="2:2">
      <c r="B1154" s="17"/>
    </row>
    <row r="1155" spans="2:2">
      <c r="B1155" s="17"/>
    </row>
    <row r="1156" spans="2:2">
      <c r="B1156" s="17"/>
    </row>
    <row r="1157" spans="2:2">
      <c r="B1157" s="17"/>
    </row>
    <row r="1158" spans="2:2">
      <c r="B1158" s="17"/>
    </row>
    <row r="1159" spans="2:2">
      <c r="B1159" s="17"/>
    </row>
    <row r="1160" spans="2:2">
      <c r="B1160" s="17"/>
    </row>
    <row r="1161" spans="2:2">
      <c r="B1161" s="17"/>
    </row>
    <row r="1162" spans="2:2">
      <c r="B1162" s="17"/>
    </row>
    <row r="1163" spans="2:2">
      <c r="B1163" s="17"/>
    </row>
    <row r="1164" spans="2:2">
      <c r="B1164" s="17"/>
    </row>
    <row r="1165" spans="2:2">
      <c r="B1165" s="17"/>
    </row>
    <row r="1166" spans="2:2">
      <c r="B1166" s="17"/>
    </row>
    <row r="1167" spans="2:2">
      <c r="B1167" s="17"/>
    </row>
    <row r="1168" spans="2:2">
      <c r="B1168" s="17"/>
    </row>
    <row r="1169" spans="2:2">
      <c r="B1169" s="17"/>
    </row>
    <row r="1170" spans="2:2">
      <c r="B1170" s="17"/>
    </row>
    <row r="1171" spans="2:2">
      <c r="B1171" s="17"/>
    </row>
    <row r="1172" spans="2:2">
      <c r="B1172" s="17"/>
    </row>
    <row r="1173" spans="2:2">
      <c r="B1173" s="17"/>
    </row>
    <row r="1174" spans="2:2">
      <c r="B1174" s="17"/>
    </row>
    <row r="1175" spans="2:2">
      <c r="B1175" s="17"/>
    </row>
    <row r="1176" spans="2:2">
      <c r="B1176" s="17"/>
    </row>
    <row r="1177" spans="2:2">
      <c r="B1177" s="17"/>
    </row>
    <row r="1178" spans="2:2">
      <c r="B1178" s="17"/>
    </row>
    <row r="1179" spans="2:2">
      <c r="B1179" s="17"/>
    </row>
    <row r="1180" spans="2:2">
      <c r="B1180" s="17"/>
    </row>
    <row r="1181" spans="2:2">
      <c r="B1181" s="17"/>
    </row>
    <row r="1182" spans="2:2">
      <c r="B1182" s="17"/>
    </row>
    <row r="1183" spans="2:2">
      <c r="B1183" s="17"/>
    </row>
    <row r="1184" spans="2:2">
      <c r="B1184" s="17"/>
    </row>
    <row r="1185" spans="2:2">
      <c r="B1185" s="17"/>
    </row>
    <row r="1186" spans="2:2">
      <c r="B1186" s="17"/>
    </row>
    <row r="1187" spans="2:2">
      <c r="B1187" s="17"/>
    </row>
    <row r="1188" spans="2:2">
      <c r="B1188" s="17"/>
    </row>
    <row r="1189" spans="2:2">
      <c r="B1189" s="17"/>
    </row>
    <row r="1190" spans="2:2">
      <c r="B1190" s="17"/>
    </row>
    <row r="1191" spans="2:2">
      <c r="B1191" s="17"/>
    </row>
    <row r="1192" spans="2:2">
      <c r="B1192" s="17"/>
    </row>
    <row r="1193" spans="2:2">
      <c r="B1193" s="17"/>
    </row>
    <row r="1194" spans="2:2">
      <c r="B1194" s="17"/>
    </row>
    <row r="1195" spans="2:2">
      <c r="B1195" s="17"/>
    </row>
    <row r="1196" spans="2:2">
      <c r="B1196" s="17"/>
    </row>
    <row r="1197" spans="2:2">
      <c r="B1197" s="17"/>
    </row>
    <row r="1198" spans="2:2">
      <c r="B1198" s="17"/>
    </row>
    <row r="1199" spans="2:2">
      <c r="B1199" s="17"/>
    </row>
    <row r="1200" spans="2:2">
      <c r="B1200" s="17"/>
    </row>
    <row r="1201" spans="2:2">
      <c r="B1201" s="17"/>
    </row>
    <row r="1202" spans="2:2">
      <c r="B1202" s="17"/>
    </row>
    <row r="1203" spans="2:2">
      <c r="B1203" s="17"/>
    </row>
    <row r="1204" spans="2:2">
      <c r="B1204" s="17"/>
    </row>
    <row r="1205" spans="2:2">
      <c r="B1205" s="17"/>
    </row>
    <row r="1206" spans="2:2">
      <c r="B1206" s="17"/>
    </row>
    <row r="1207" spans="2:2">
      <c r="B1207" s="17"/>
    </row>
    <row r="1208" spans="2:2">
      <c r="B1208" s="17"/>
    </row>
    <row r="1209" spans="2:2">
      <c r="B1209" s="17"/>
    </row>
    <row r="1210" spans="2:2">
      <c r="B1210" s="17"/>
    </row>
    <row r="1211" spans="2:2">
      <c r="B1211" s="17"/>
    </row>
    <row r="1212" spans="2:2">
      <c r="B1212" s="17"/>
    </row>
    <row r="1213" spans="2:2">
      <c r="B1213" s="17"/>
    </row>
    <row r="1214" spans="2:2">
      <c r="B1214" s="17"/>
    </row>
    <row r="1215" spans="2:2">
      <c r="B1215" s="17"/>
    </row>
    <row r="1216" spans="2:2">
      <c r="B1216" s="17"/>
    </row>
    <row r="1217" spans="2:2">
      <c r="B1217" s="17"/>
    </row>
    <row r="1218" spans="2:2">
      <c r="B1218" s="17"/>
    </row>
    <row r="1219" spans="2:2">
      <c r="B1219" s="17"/>
    </row>
    <row r="1220" spans="2:2">
      <c r="B1220" s="17"/>
    </row>
    <row r="1221" spans="2:2">
      <c r="B1221" s="17"/>
    </row>
    <row r="1222" spans="2:2">
      <c r="B1222" s="17"/>
    </row>
    <row r="1223" spans="2:2">
      <c r="B1223" s="17"/>
    </row>
    <row r="1224" spans="2:2">
      <c r="B1224" s="17"/>
    </row>
    <row r="1225" spans="2:2">
      <c r="B1225" s="17"/>
    </row>
    <row r="1226" spans="2:2">
      <c r="B1226" s="17"/>
    </row>
    <row r="1227" spans="2:2">
      <c r="B1227" s="17"/>
    </row>
    <row r="1228" spans="2:2">
      <c r="B1228" s="17"/>
    </row>
    <row r="1229" spans="2:2">
      <c r="B1229" s="17"/>
    </row>
    <row r="1230" spans="2:2">
      <c r="B1230" s="17"/>
    </row>
    <row r="1231" spans="2:2">
      <c r="B1231" s="17"/>
    </row>
    <row r="1232" spans="2:2">
      <c r="B1232" s="17"/>
    </row>
    <row r="1233" spans="2:2">
      <c r="B1233" s="17"/>
    </row>
    <row r="1234" spans="2:2">
      <c r="B1234" s="17"/>
    </row>
    <row r="1235" spans="2:2">
      <c r="B1235" s="17"/>
    </row>
    <row r="1236" spans="2:2">
      <c r="B1236" s="17"/>
    </row>
    <row r="1237" spans="2:2">
      <c r="B1237" s="17"/>
    </row>
    <row r="1238" spans="2:2">
      <c r="B1238" s="17"/>
    </row>
    <row r="1239" spans="2:2">
      <c r="B1239" s="17"/>
    </row>
    <row r="1240" spans="2:2">
      <c r="B1240" s="17"/>
    </row>
    <row r="1241" spans="2:2">
      <c r="B1241" s="17"/>
    </row>
    <row r="1242" spans="2:2">
      <c r="B1242" s="17"/>
    </row>
    <row r="1243" spans="2:2">
      <c r="B1243" s="17"/>
    </row>
    <row r="1244" spans="2:2">
      <c r="B1244" s="17"/>
    </row>
    <row r="1245" spans="2:2">
      <c r="B1245" s="17"/>
    </row>
    <row r="1246" spans="2:2">
      <c r="B1246" s="17"/>
    </row>
    <row r="1247" spans="2:2">
      <c r="B1247" s="17"/>
    </row>
    <row r="1248" spans="2:2">
      <c r="B1248" s="17"/>
    </row>
    <row r="1249" spans="2:2">
      <c r="B1249" s="17"/>
    </row>
    <row r="1250" spans="2:2">
      <c r="B1250" s="17"/>
    </row>
    <row r="1251" spans="2:2">
      <c r="B1251" s="17"/>
    </row>
    <row r="1252" spans="2:2">
      <c r="B1252" s="17"/>
    </row>
    <row r="1253" spans="2:2">
      <c r="B1253" s="17"/>
    </row>
    <row r="1254" spans="2:2">
      <c r="B1254" s="17"/>
    </row>
    <row r="1255" spans="2:2">
      <c r="B1255" s="17"/>
    </row>
    <row r="1256" spans="2:2">
      <c r="B1256" s="17"/>
    </row>
    <row r="1257" spans="2:2">
      <c r="B1257" s="17"/>
    </row>
    <row r="1258" spans="2:2">
      <c r="B1258" s="17"/>
    </row>
    <row r="1259" spans="2:2">
      <c r="B1259" s="17"/>
    </row>
    <row r="1260" spans="2:2">
      <c r="B1260" s="17"/>
    </row>
    <row r="1261" spans="2:2">
      <c r="B1261" s="17"/>
    </row>
    <row r="1262" spans="2:2">
      <c r="B1262" s="17"/>
    </row>
    <row r="1263" spans="2:2">
      <c r="B1263" s="17"/>
    </row>
    <row r="1264" spans="2:2">
      <c r="B1264" s="17"/>
    </row>
    <row r="1265" spans="2:2">
      <c r="B1265" s="17"/>
    </row>
    <row r="1266" spans="2:2">
      <c r="B1266" s="17"/>
    </row>
    <row r="1267" spans="2:2">
      <c r="B1267" s="17"/>
    </row>
    <row r="1268" spans="2:2">
      <c r="B1268" s="17"/>
    </row>
    <row r="1269" spans="2:2">
      <c r="B1269" s="17"/>
    </row>
    <row r="1270" spans="2:2">
      <c r="B1270" s="17"/>
    </row>
    <row r="1271" spans="2:2">
      <c r="B1271" s="17"/>
    </row>
    <row r="1272" spans="2:2">
      <c r="B1272" s="17"/>
    </row>
    <row r="1273" spans="2:2">
      <c r="B1273" s="17"/>
    </row>
    <row r="1274" spans="2:2">
      <c r="B1274" s="17"/>
    </row>
    <row r="1275" spans="2:2">
      <c r="B1275" s="17"/>
    </row>
    <row r="1276" spans="2:2">
      <c r="B1276" s="17"/>
    </row>
    <row r="1277" spans="2:2">
      <c r="B1277" s="17"/>
    </row>
    <row r="1278" spans="2:2">
      <c r="B1278" s="17"/>
    </row>
    <row r="1279" spans="2:2">
      <c r="B1279" s="17"/>
    </row>
    <row r="1280" spans="2:2">
      <c r="B1280" s="17"/>
    </row>
    <row r="1281" spans="2:2">
      <c r="B1281" s="17"/>
    </row>
    <row r="1282" spans="2:2">
      <c r="B1282" s="17"/>
    </row>
    <row r="1283" spans="2:2">
      <c r="B1283" s="17"/>
    </row>
    <row r="1284" spans="2:2">
      <c r="B1284" s="17"/>
    </row>
    <row r="1285" spans="2:2">
      <c r="B1285" s="17"/>
    </row>
    <row r="1286" spans="2:2">
      <c r="B1286" s="17"/>
    </row>
    <row r="1287" spans="2:2">
      <c r="B1287" s="17"/>
    </row>
    <row r="1288" spans="2:2">
      <c r="B1288" s="17"/>
    </row>
    <row r="1289" spans="2:2">
      <c r="B1289" s="17"/>
    </row>
    <row r="1290" spans="2:2">
      <c r="B1290" s="17"/>
    </row>
    <row r="1291" spans="2:2">
      <c r="B1291" s="17"/>
    </row>
    <row r="1292" spans="2:2">
      <c r="B1292" s="17"/>
    </row>
    <row r="1293" spans="2:2">
      <c r="B1293" s="17"/>
    </row>
    <row r="1294" spans="2:2">
      <c r="B1294" s="17"/>
    </row>
    <row r="1295" spans="2:2">
      <c r="B1295" s="17"/>
    </row>
    <row r="1296" spans="2:2">
      <c r="B1296" s="17"/>
    </row>
    <row r="1297" spans="2:2">
      <c r="B1297" s="17"/>
    </row>
    <row r="1298" spans="2:2">
      <c r="B1298" s="17"/>
    </row>
    <row r="1299" spans="2:2">
      <c r="B1299" s="17"/>
    </row>
    <row r="1300" spans="2:2">
      <c r="B1300" s="17"/>
    </row>
    <row r="1301" spans="2:2">
      <c r="B1301" s="17"/>
    </row>
    <row r="1302" spans="2:2">
      <c r="B1302" s="17"/>
    </row>
    <row r="1303" spans="2:2">
      <c r="B1303" s="17"/>
    </row>
    <row r="1304" spans="2:2">
      <c r="B1304" s="17"/>
    </row>
    <row r="1305" spans="2:2">
      <c r="B1305" s="17"/>
    </row>
    <row r="1306" spans="2:2">
      <c r="B1306" s="17"/>
    </row>
    <row r="1307" spans="2:2">
      <c r="B1307" s="17"/>
    </row>
    <row r="1308" spans="2:2">
      <c r="B1308" s="17"/>
    </row>
    <row r="1309" spans="2:2">
      <c r="B1309" s="17"/>
    </row>
    <row r="1310" spans="2:2">
      <c r="B1310" s="17"/>
    </row>
    <row r="1311" spans="2:2">
      <c r="B1311" s="17"/>
    </row>
    <row r="1312" spans="2:2">
      <c r="B1312" s="17"/>
    </row>
    <row r="1313" spans="2:2">
      <c r="B1313" s="17"/>
    </row>
    <row r="1314" spans="2:2">
      <c r="B1314" s="17"/>
    </row>
    <row r="1315" spans="2:2">
      <c r="B1315" s="17"/>
    </row>
    <row r="1316" spans="2:2">
      <c r="B1316" s="17"/>
    </row>
    <row r="1317" spans="2:2">
      <c r="B1317" s="17"/>
    </row>
    <row r="1318" spans="2:2">
      <c r="B1318" s="17"/>
    </row>
    <row r="1319" spans="2:2">
      <c r="B1319" s="17"/>
    </row>
    <row r="1320" spans="2:2">
      <c r="B1320" s="17"/>
    </row>
    <row r="1321" spans="2:2">
      <c r="B1321" s="17"/>
    </row>
    <row r="1322" spans="2:2">
      <c r="B1322" s="17"/>
    </row>
    <row r="1323" spans="2:2">
      <c r="B1323" s="17"/>
    </row>
    <row r="1324" spans="2:2">
      <c r="B1324" s="17"/>
    </row>
    <row r="1325" spans="2:2">
      <c r="B1325" s="17"/>
    </row>
    <row r="1326" spans="2:2">
      <c r="B1326" s="17"/>
    </row>
    <row r="1327" spans="2:2">
      <c r="B1327" s="17"/>
    </row>
    <row r="1328" spans="2:2">
      <c r="B1328" s="17"/>
    </row>
    <row r="1329" spans="2:2">
      <c r="B1329" s="17"/>
    </row>
    <row r="1330" spans="2:2">
      <c r="B1330" s="17"/>
    </row>
    <row r="1331" spans="2:2">
      <c r="B1331" s="17"/>
    </row>
    <row r="1332" spans="2:2">
      <c r="B1332" s="17"/>
    </row>
    <row r="1333" spans="2:2">
      <c r="B1333" s="17"/>
    </row>
    <row r="1334" spans="2:2">
      <c r="B1334" s="17"/>
    </row>
    <row r="1335" spans="2:2">
      <c r="B1335" s="17"/>
    </row>
    <row r="1336" spans="2:2">
      <c r="B1336" s="17"/>
    </row>
    <row r="1337" spans="2:2">
      <c r="B1337" s="17"/>
    </row>
    <row r="1338" spans="2:2">
      <c r="B1338" s="17"/>
    </row>
    <row r="1339" spans="2:2">
      <c r="B1339" s="17"/>
    </row>
    <row r="1340" spans="2:2">
      <c r="B1340" s="17"/>
    </row>
    <row r="1341" spans="2:2">
      <c r="B1341" s="17"/>
    </row>
    <row r="1342" spans="2:2">
      <c r="B1342" s="17"/>
    </row>
    <row r="1343" spans="2:2">
      <c r="B1343" s="17"/>
    </row>
    <row r="1344" spans="2:2">
      <c r="B1344" s="17"/>
    </row>
    <row r="1345" spans="2:2">
      <c r="B1345" s="17"/>
    </row>
    <row r="1346" spans="2:2">
      <c r="B1346" s="17"/>
    </row>
    <row r="1347" spans="2:2">
      <c r="B1347" s="17"/>
    </row>
    <row r="1348" spans="2:2">
      <c r="B1348" s="17"/>
    </row>
    <row r="1349" spans="2:2">
      <c r="B1349" s="17"/>
    </row>
    <row r="1350" spans="2:2">
      <c r="B1350" s="17"/>
    </row>
    <row r="1351" spans="2:2">
      <c r="B1351" s="17"/>
    </row>
    <row r="1352" spans="2:2">
      <c r="B1352" s="17"/>
    </row>
    <row r="1353" spans="2:2">
      <c r="B1353" s="17"/>
    </row>
    <row r="1354" spans="2:2">
      <c r="B1354" s="17"/>
    </row>
    <row r="1355" spans="2:2">
      <c r="B1355" s="17"/>
    </row>
    <row r="1356" spans="2:2">
      <c r="B1356" s="17"/>
    </row>
    <row r="1357" spans="2:2">
      <c r="B1357" s="17"/>
    </row>
    <row r="1358" spans="2:2">
      <c r="B1358" s="17"/>
    </row>
    <row r="1359" spans="2:2">
      <c r="B1359" s="17"/>
    </row>
    <row r="1360" spans="2:2">
      <c r="B1360" s="17"/>
    </row>
    <row r="1361" spans="2:2">
      <c r="B1361" s="17"/>
    </row>
    <row r="1362" spans="2:2">
      <c r="B1362" s="17"/>
    </row>
    <row r="1363" spans="2:2">
      <c r="B1363" s="17"/>
    </row>
    <row r="1364" spans="2:2">
      <c r="B1364" s="17"/>
    </row>
    <row r="1365" spans="2:2">
      <c r="B1365" s="17"/>
    </row>
    <row r="1366" spans="2:2">
      <c r="B1366" s="17"/>
    </row>
    <row r="1367" spans="2:2">
      <c r="B1367" s="17"/>
    </row>
    <row r="1368" spans="2:2">
      <c r="B1368" s="17"/>
    </row>
    <row r="1369" spans="2:2">
      <c r="B1369" s="17"/>
    </row>
    <row r="1370" spans="2:2">
      <c r="B1370" s="17"/>
    </row>
    <row r="1371" spans="2:2">
      <c r="B1371" s="17"/>
    </row>
    <row r="1372" spans="2:2">
      <c r="B1372" s="17"/>
    </row>
    <row r="1373" spans="2:2">
      <c r="B1373" s="17"/>
    </row>
    <row r="1374" spans="2:2">
      <c r="B1374" s="17"/>
    </row>
    <row r="1375" spans="2:2">
      <c r="B1375" s="17"/>
    </row>
    <row r="1376" spans="2:2">
      <c r="B1376" s="17"/>
    </row>
    <row r="1377" spans="2:2">
      <c r="B1377" s="17"/>
    </row>
    <row r="1378" spans="2:2">
      <c r="B1378" s="17"/>
    </row>
    <row r="1379" spans="2:2">
      <c r="B1379" s="17"/>
    </row>
    <row r="1380" spans="2:2">
      <c r="B1380" s="17"/>
    </row>
    <row r="1381" spans="2:2">
      <c r="B1381" s="17"/>
    </row>
    <row r="1382" spans="2:2">
      <c r="B1382" s="17"/>
    </row>
    <row r="1383" spans="2:2">
      <c r="B1383" s="17"/>
    </row>
    <row r="1384" spans="2:2">
      <c r="B1384" s="17"/>
    </row>
    <row r="1385" spans="2:2">
      <c r="B1385" s="17"/>
    </row>
    <row r="1386" spans="2:2">
      <c r="B1386" s="17"/>
    </row>
    <row r="1387" spans="2:2">
      <c r="B1387" s="17"/>
    </row>
    <row r="1388" spans="2:2">
      <c r="B1388" s="17"/>
    </row>
    <row r="1389" spans="2:2">
      <c r="B1389" s="17"/>
    </row>
    <row r="1390" spans="2:2">
      <c r="B1390" s="17"/>
    </row>
    <row r="1391" spans="2:2">
      <c r="B1391" s="17"/>
    </row>
    <row r="1392" spans="2:2">
      <c r="B1392" s="17"/>
    </row>
    <row r="1393" spans="2:2">
      <c r="B1393" s="17"/>
    </row>
    <row r="1394" spans="2:2">
      <c r="B1394" s="17"/>
    </row>
    <row r="1395" spans="2:2">
      <c r="B1395" s="17"/>
    </row>
    <row r="1396" spans="2:2">
      <c r="B1396" s="17"/>
    </row>
    <row r="1397" spans="2:2">
      <c r="B1397" s="17"/>
    </row>
    <row r="1398" spans="2:2">
      <c r="B1398" s="17"/>
    </row>
    <row r="1399" spans="2:2">
      <c r="B1399" s="17"/>
    </row>
    <row r="1400" spans="2:2">
      <c r="B1400" s="17"/>
    </row>
    <row r="1401" spans="2:2">
      <c r="B1401" s="17"/>
    </row>
    <row r="1402" spans="2:2">
      <c r="B1402" s="17"/>
    </row>
    <row r="1403" spans="2:2">
      <c r="B1403" s="17"/>
    </row>
    <row r="1404" spans="2:2">
      <c r="B1404" s="17"/>
    </row>
    <row r="1405" spans="2:2">
      <c r="B1405" s="17"/>
    </row>
    <row r="1406" spans="2:2">
      <c r="B1406" s="17"/>
    </row>
    <row r="1407" spans="2:2">
      <c r="B1407" s="17"/>
    </row>
    <row r="1408" spans="2:2">
      <c r="B1408" s="17"/>
    </row>
    <row r="1409" spans="2:2">
      <c r="B1409" s="17"/>
    </row>
    <row r="1410" spans="2:2">
      <c r="B1410" s="17"/>
    </row>
    <row r="1411" spans="2:2">
      <c r="B1411" s="17"/>
    </row>
    <row r="1412" spans="2:2">
      <c r="B1412" s="17"/>
    </row>
    <row r="1413" spans="2:2">
      <c r="B1413" s="17"/>
    </row>
    <row r="1414" spans="2:2">
      <c r="B1414" s="17"/>
    </row>
    <row r="1415" spans="2:2">
      <c r="B1415" s="17"/>
    </row>
    <row r="1416" spans="2:2">
      <c r="B1416" s="17"/>
    </row>
    <row r="1417" spans="2:2">
      <c r="B1417" s="17"/>
    </row>
    <row r="1418" spans="2:2">
      <c r="B1418" s="17"/>
    </row>
    <row r="1419" spans="2:2">
      <c r="B1419" s="17"/>
    </row>
    <row r="1420" spans="2:2">
      <c r="B1420" s="17"/>
    </row>
    <row r="1421" spans="2:2">
      <c r="B1421" s="17"/>
    </row>
    <row r="1422" spans="2:2">
      <c r="B1422" s="17"/>
    </row>
    <row r="1423" spans="2:2">
      <c r="B1423" s="17"/>
    </row>
    <row r="1424" spans="2:2">
      <c r="B1424" s="17"/>
    </row>
    <row r="1425" spans="2:2">
      <c r="B1425" s="17"/>
    </row>
    <row r="1426" spans="2:2">
      <c r="B1426" s="17"/>
    </row>
    <row r="1427" spans="2:2">
      <c r="B1427" s="17"/>
    </row>
    <row r="1428" spans="2:2">
      <c r="B1428" s="17"/>
    </row>
    <row r="1429" spans="2:2">
      <c r="B1429" s="17"/>
    </row>
    <row r="1430" spans="2:2">
      <c r="B1430" s="17"/>
    </row>
    <row r="1431" spans="2:2">
      <c r="B1431" s="17"/>
    </row>
    <row r="1432" spans="2:2">
      <c r="B1432" s="17"/>
    </row>
    <row r="1433" spans="2:2">
      <c r="B1433" s="17"/>
    </row>
    <row r="1434" spans="2:2">
      <c r="B1434" s="17"/>
    </row>
    <row r="1435" spans="2:2">
      <c r="B1435" s="17"/>
    </row>
    <row r="1436" spans="2:2">
      <c r="B1436" s="17"/>
    </row>
    <row r="1437" spans="2:2">
      <c r="B1437" s="17"/>
    </row>
    <row r="1438" spans="2:2">
      <c r="B1438" s="17"/>
    </row>
    <row r="1439" spans="2:2">
      <c r="B1439" s="17"/>
    </row>
    <row r="1440" spans="2:2">
      <c r="B1440" s="17"/>
    </row>
    <row r="1441" spans="2:2">
      <c r="B1441" s="17"/>
    </row>
    <row r="1442" spans="2:2">
      <c r="B1442" s="17"/>
    </row>
    <row r="1443" spans="2:2">
      <c r="B1443" s="17"/>
    </row>
    <row r="1444" spans="2:2">
      <c r="B1444" s="17"/>
    </row>
    <row r="1445" spans="2:2">
      <c r="B1445" s="17"/>
    </row>
    <row r="1446" spans="2:2">
      <c r="B1446" s="17"/>
    </row>
    <row r="1447" spans="2:2">
      <c r="B1447" s="17"/>
    </row>
    <row r="1448" spans="2:2">
      <c r="B1448" s="17"/>
    </row>
    <row r="1449" spans="2:2">
      <c r="B1449" s="17"/>
    </row>
    <row r="1450" spans="2:2">
      <c r="B1450" s="17"/>
    </row>
    <row r="1451" spans="2:2">
      <c r="B1451" s="17"/>
    </row>
    <row r="1452" spans="2:2">
      <c r="B1452" s="17"/>
    </row>
    <row r="1453" spans="2:2">
      <c r="B1453" s="17"/>
    </row>
    <row r="1454" spans="2:2">
      <c r="B1454" s="17"/>
    </row>
    <row r="1455" spans="2:2">
      <c r="B1455" s="17"/>
    </row>
    <row r="1456" spans="2:2">
      <c r="B1456" s="17"/>
    </row>
    <row r="1457" spans="2:2">
      <c r="B1457" s="17"/>
    </row>
    <row r="1458" spans="2:2">
      <c r="B1458" s="17"/>
    </row>
    <row r="1459" spans="2:2">
      <c r="B1459" s="17"/>
    </row>
    <row r="1460" spans="2:2">
      <c r="B1460" s="17"/>
    </row>
    <row r="1461" spans="2:2">
      <c r="B1461" s="17"/>
    </row>
    <row r="1462" spans="2:2">
      <c r="B1462" s="17"/>
    </row>
    <row r="1463" spans="2:2">
      <c r="B1463" s="17"/>
    </row>
    <row r="1464" spans="2:2">
      <c r="B1464" s="17"/>
    </row>
    <row r="1465" spans="2:2">
      <c r="B1465" s="17"/>
    </row>
    <row r="1466" spans="2:2">
      <c r="B1466" s="17"/>
    </row>
    <row r="1467" spans="2:2">
      <c r="B1467" s="17"/>
    </row>
    <row r="1468" spans="2:2">
      <c r="B1468" s="17"/>
    </row>
    <row r="1469" spans="2:2">
      <c r="B1469" s="17"/>
    </row>
    <row r="1470" spans="2:2">
      <c r="B1470" s="17"/>
    </row>
    <row r="1471" spans="2:2">
      <c r="B1471" s="17"/>
    </row>
    <row r="1472" spans="2:2">
      <c r="B1472" s="17"/>
    </row>
    <row r="1473" spans="2:2">
      <c r="B1473" s="17"/>
    </row>
    <row r="1474" spans="2:2">
      <c r="B1474" s="17"/>
    </row>
    <row r="1475" spans="2:2">
      <c r="B1475" s="17"/>
    </row>
    <row r="1476" spans="2:2">
      <c r="B1476" s="17"/>
    </row>
    <row r="1477" spans="2:2">
      <c r="B1477" s="17"/>
    </row>
    <row r="1478" spans="2:2">
      <c r="B1478" s="17"/>
    </row>
    <row r="1479" spans="2:2">
      <c r="B1479" s="17"/>
    </row>
    <row r="1480" spans="2:2">
      <c r="B1480" s="17"/>
    </row>
    <row r="1481" spans="2:2">
      <c r="B1481" s="17"/>
    </row>
    <row r="1482" spans="2:2">
      <c r="B1482" s="17"/>
    </row>
    <row r="1483" spans="2:2">
      <c r="B1483" s="17"/>
    </row>
    <row r="1484" spans="2:2">
      <c r="B1484" s="17"/>
    </row>
    <row r="1485" spans="2:2">
      <c r="B1485" s="17"/>
    </row>
    <row r="1486" spans="2:2">
      <c r="B1486" s="17"/>
    </row>
    <row r="1487" spans="2:2">
      <c r="B1487" s="17"/>
    </row>
    <row r="1488" spans="2:2">
      <c r="B1488" s="17"/>
    </row>
    <row r="1489" spans="2:2">
      <c r="B1489" s="17"/>
    </row>
    <row r="1490" spans="2:2">
      <c r="B1490" s="17"/>
    </row>
    <row r="1491" spans="2:2">
      <c r="B1491" s="17"/>
    </row>
    <row r="1492" spans="2:2">
      <c r="B1492" s="17"/>
    </row>
    <row r="1493" spans="2:2">
      <c r="B1493" s="17"/>
    </row>
    <row r="1494" spans="2:2">
      <c r="B1494" s="17"/>
    </row>
    <row r="1495" spans="2:2">
      <c r="B1495" s="17"/>
    </row>
    <row r="1496" spans="2:2">
      <c r="B1496" s="17"/>
    </row>
    <row r="1497" spans="2:2">
      <c r="B1497" s="17"/>
    </row>
    <row r="1498" spans="2:2">
      <c r="B1498" s="17"/>
    </row>
    <row r="1499" spans="2:2">
      <c r="B1499" s="17"/>
    </row>
    <row r="1500" spans="2:2">
      <c r="B1500" s="17"/>
    </row>
    <row r="1501" spans="2:2">
      <c r="B1501" s="17"/>
    </row>
    <row r="1502" spans="2:2">
      <c r="B1502" s="17"/>
    </row>
    <row r="1503" spans="2:2">
      <c r="B1503" s="17"/>
    </row>
    <row r="1504" spans="2:2">
      <c r="B1504" s="17"/>
    </row>
    <row r="1505" spans="2:2">
      <c r="B1505" s="17"/>
    </row>
    <row r="1506" spans="2:2">
      <c r="B1506" s="17"/>
    </row>
    <row r="1507" spans="2:2">
      <c r="B1507" s="17"/>
    </row>
    <row r="1508" spans="2:2">
      <c r="B1508" s="17"/>
    </row>
    <row r="1509" spans="2:2">
      <c r="B1509" s="17"/>
    </row>
    <row r="1510" spans="2:2">
      <c r="B1510" s="17"/>
    </row>
    <row r="1511" spans="2:2">
      <c r="B1511" s="17"/>
    </row>
    <row r="1512" spans="2:2">
      <c r="B1512" s="17"/>
    </row>
    <row r="1513" spans="2:2">
      <c r="B1513" s="17"/>
    </row>
    <row r="1514" spans="2:2">
      <c r="B1514" s="17"/>
    </row>
    <row r="1515" spans="2:2">
      <c r="B1515" s="17"/>
    </row>
    <row r="1516" spans="2:2">
      <c r="B1516" s="17"/>
    </row>
    <row r="1517" spans="2:2">
      <c r="B1517" s="17"/>
    </row>
    <row r="1518" spans="2:2">
      <c r="B1518" s="17"/>
    </row>
    <row r="1519" spans="2:2">
      <c r="B1519" s="17"/>
    </row>
    <row r="1520" spans="2:2">
      <c r="B1520" s="17"/>
    </row>
    <row r="1521" spans="2:2">
      <c r="B1521" s="17"/>
    </row>
    <row r="1522" spans="2:2">
      <c r="B1522" s="17"/>
    </row>
    <row r="1523" spans="2:2">
      <c r="B1523" s="17"/>
    </row>
    <row r="1524" spans="2:2">
      <c r="B1524" s="17"/>
    </row>
    <row r="1525" spans="2:2">
      <c r="B1525" s="17"/>
    </row>
    <row r="1526" spans="2:2">
      <c r="B1526" s="17"/>
    </row>
    <row r="1527" spans="2:2">
      <c r="B1527" s="17"/>
    </row>
    <row r="1528" spans="2:2">
      <c r="B1528" s="17"/>
    </row>
    <row r="1529" spans="2:2">
      <c r="B1529" s="17"/>
    </row>
    <row r="1530" spans="2:2">
      <c r="B1530" s="17"/>
    </row>
    <row r="1531" spans="2:2">
      <c r="B1531" s="17"/>
    </row>
    <row r="1532" spans="2:2">
      <c r="B1532" s="17"/>
    </row>
    <row r="1533" spans="2:2">
      <c r="B1533" s="17"/>
    </row>
    <row r="1534" spans="2:2">
      <c r="B1534" s="17"/>
    </row>
    <row r="1535" spans="2:2">
      <c r="B1535" s="17"/>
    </row>
    <row r="1536" spans="2:2">
      <c r="B1536" s="17"/>
    </row>
    <row r="1537" spans="2:2">
      <c r="B1537" s="17"/>
    </row>
    <row r="1538" spans="2:2">
      <c r="B1538" s="17"/>
    </row>
    <row r="1539" spans="2:2">
      <c r="B1539" s="17"/>
    </row>
    <row r="1540" spans="2:2">
      <c r="B1540" s="17"/>
    </row>
    <row r="1541" spans="2:2">
      <c r="B1541" s="17"/>
    </row>
    <row r="1542" spans="2:2">
      <c r="B1542" s="17"/>
    </row>
    <row r="1543" spans="2:2">
      <c r="B1543" s="17"/>
    </row>
    <row r="1544" spans="2:2">
      <c r="B1544" s="17"/>
    </row>
    <row r="1545" spans="2:2">
      <c r="B1545" s="17"/>
    </row>
    <row r="1546" spans="2:2">
      <c r="B1546" s="17"/>
    </row>
    <row r="1547" spans="2:2">
      <c r="B1547" s="17"/>
    </row>
    <row r="1548" spans="2:2">
      <c r="B1548" s="17"/>
    </row>
    <row r="1549" spans="2:2">
      <c r="B1549" s="17"/>
    </row>
    <row r="1550" spans="2:2">
      <c r="B1550" s="17"/>
    </row>
    <row r="1551" spans="2:2">
      <c r="B1551" s="17"/>
    </row>
    <row r="1552" spans="2:2">
      <c r="B1552" s="17"/>
    </row>
    <row r="1553" spans="2:2">
      <c r="B1553" s="17"/>
    </row>
    <row r="1554" spans="2:2">
      <c r="B1554" s="17"/>
    </row>
    <row r="1555" spans="2:2">
      <c r="B1555" s="17"/>
    </row>
    <row r="1556" spans="2:2">
      <c r="B1556" s="17"/>
    </row>
    <row r="1557" spans="2:2">
      <c r="B1557" s="17"/>
    </row>
    <row r="1558" spans="2:2">
      <c r="B1558" s="17"/>
    </row>
    <row r="1559" spans="2:2">
      <c r="B1559" s="17"/>
    </row>
    <row r="1560" spans="2:2">
      <c r="B1560" s="17"/>
    </row>
    <row r="1561" spans="2:2">
      <c r="B1561" s="17"/>
    </row>
    <row r="1562" spans="2:2">
      <c r="B1562" s="17"/>
    </row>
    <row r="1563" spans="2:2">
      <c r="B1563" s="17"/>
    </row>
    <row r="1564" spans="2:2">
      <c r="B1564" s="17"/>
    </row>
    <row r="1565" spans="2:2">
      <c r="B1565" s="17"/>
    </row>
    <row r="1566" spans="2:2">
      <c r="B1566" s="17"/>
    </row>
    <row r="1567" spans="2:2">
      <c r="B1567" s="17"/>
    </row>
    <row r="1568" spans="2:2">
      <c r="B1568" s="17"/>
    </row>
    <row r="1569" spans="2:2">
      <c r="B1569" s="17"/>
    </row>
    <row r="1570" spans="2:2">
      <c r="B1570" s="17"/>
    </row>
    <row r="1571" spans="2:2">
      <c r="B1571" s="17"/>
    </row>
    <row r="1572" spans="2:2">
      <c r="B1572" s="17"/>
    </row>
    <row r="1573" spans="2:2">
      <c r="B1573" s="17"/>
    </row>
    <row r="1574" spans="2:2">
      <c r="B1574" s="17"/>
    </row>
    <row r="1575" spans="2:2">
      <c r="B1575" s="17"/>
    </row>
    <row r="1576" spans="2:2">
      <c r="B1576" s="17"/>
    </row>
    <row r="1577" spans="2:2">
      <c r="B1577" s="17"/>
    </row>
    <row r="1578" spans="2:2">
      <c r="B1578" s="17"/>
    </row>
    <row r="1579" spans="2:2">
      <c r="B1579" s="17"/>
    </row>
    <row r="1580" spans="2:2">
      <c r="B1580" s="17"/>
    </row>
    <row r="1581" spans="2:2">
      <c r="B1581" s="17"/>
    </row>
    <row r="1582" spans="2:2">
      <c r="B1582" s="17"/>
    </row>
    <row r="1583" spans="2:2">
      <c r="B1583" s="17"/>
    </row>
    <row r="1584" spans="2:2">
      <c r="B1584" s="17"/>
    </row>
    <row r="1585" spans="2:2">
      <c r="B1585" s="17"/>
    </row>
    <row r="1586" spans="2:2">
      <c r="B1586" s="17"/>
    </row>
    <row r="1587" spans="2:2">
      <c r="B1587" s="17"/>
    </row>
    <row r="1588" spans="2:2">
      <c r="B1588" s="17"/>
    </row>
    <row r="1589" spans="2:2">
      <c r="B1589" s="17"/>
    </row>
    <row r="1590" spans="2:2">
      <c r="B1590" s="17"/>
    </row>
    <row r="1591" spans="2:2">
      <c r="B1591" s="17"/>
    </row>
    <row r="1592" spans="2:2">
      <c r="B1592" s="17"/>
    </row>
    <row r="1593" spans="2:2">
      <c r="B1593" s="17"/>
    </row>
    <row r="1594" spans="2:2">
      <c r="B1594" s="17"/>
    </row>
    <row r="1595" spans="2:2">
      <c r="B1595" s="17"/>
    </row>
    <row r="1596" spans="2:2">
      <c r="B1596" s="17"/>
    </row>
    <row r="1597" spans="2:2">
      <c r="B1597" s="17"/>
    </row>
    <row r="1598" spans="2:2">
      <c r="B1598" s="17"/>
    </row>
    <row r="1599" spans="2:2">
      <c r="B1599" s="17"/>
    </row>
    <row r="1600" spans="2:2">
      <c r="B1600" s="17"/>
    </row>
    <row r="1601" spans="2:2">
      <c r="B1601" s="17"/>
    </row>
    <row r="1602" spans="2:2">
      <c r="B1602" s="17"/>
    </row>
    <row r="1603" spans="2:2">
      <c r="B1603" s="17"/>
    </row>
    <row r="1604" spans="2:2">
      <c r="B1604" s="17"/>
    </row>
    <row r="1605" spans="2:2">
      <c r="B1605" s="17"/>
    </row>
    <row r="1606" spans="2:2">
      <c r="B1606" s="17"/>
    </row>
    <row r="1607" spans="2:2">
      <c r="B1607" s="17"/>
    </row>
    <row r="1608" spans="2:2">
      <c r="B1608" s="17"/>
    </row>
    <row r="1609" spans="2:2">
      <c r="B1609" s="17"/>
    </row>
    <row r="1610" spans="2:2">
      <c r="B1610" s="17"/>
    </row>
    <row r="1611" spans="2:2">
      <c r="B1611" s="17"/>
    </row>
    <row r="1612" spans="2:2">
      <c r="B1612" s="17"/>
    </row>
    <row r="1613" spans="2:2">
      <c r="B1613" s="17"/>
    </row>
    <row r="1614" spans="2:2">
      <c r="B1614" s="17"/>
    </row>
    <row r="1615" spans="2:2">
      <c r="B1615" s="17"/>
    </row>
    <row r="1616" spans="2:2">
      <c r="B1616" s="17"/>
    </row>
    <row r="1617" spans="2:2">
      <c r="B1617" s="17"/>
    </row>
    <row r="1618" spans="2:2">
      <c r="B1618" s="17"/>
    </row>
    <row r="1619" spans="2:2">
      <c r="B1619" s="17"/>
    </row>
    <row r="1620" spans="2:2">
      <c r="B1620" s="17"/>
    </row>
    <row r="1621" spans="2:2">
      <c r="B1621" s="17"/>
    </row>
    <row r="1622" spans="2:2">
      <c r="B1622" s="17"/>
    </row>
    <row r="1623" spans="2:2">
      <c r="B1623" s="17"/>
    </row>
    <row r="1624" spans="2:2">
      <c r="B1624" s="17"/>
    </row>
    <row r="1625" spans="2:2">
      <c r="B1625" s="17"/>
    </row>
    <row r="1626" spans="2:2">
      <c r="B1626" s="17"/>
    </row>
    <row r="1627" spans="2:2">
      <c r="B1627" s="17"/>
    </row>
    <row r="1628" spans="2:2">
      <c r="B1628" s="17"/>
    </row>
    <row r="1629" spans="2:2">
      <c r="B1629" s="17"/>
    </row>
    <row r="1630" spans="2:2">
      <c r="B1630" s="17"/>
    </row>
    <row r="1631" spans="2:2">
      <c r="B1631" s="17"/>
    </row>
    <row r="1632" spans="2:2">
      <c r="B1632" s="17"/>
    </row>
    <row r="1633" spans="2:2">
      <c r="B1633" s="17"/>
    </row>
    <row r="1634" spans="2:2">
      <c r="B1634" s="17"/>
    </row>
    <row r="1635" spans="2:2">
      <c r="B1635" s="17"/>
    </row>
    <row r="1636" spans="2:2">
      <c r="B1636" s="17"/>
    </row>
    <row r="1637" spans="2:2">
      <c r="B1637" s="17"/>
    </row>
    <row r="1638" spans="2:2">
      <c r="B1638" s="17"/>
    </row>
    <row r="1639" spans="2:2">
      <c r="B1639" s="17"/>
    </row>
    <row r="1640" spans="2:2">
      <c r="B1640" s="17"/>
    </row>
    <row r="1641" spans="2:2">
      <c r="B1641" s="17"/>
    </row>
    <row r="1642" spans="2:2">
      <c r="B1642" s="17"/>
    </row>
    <row r="1643" spans="2:2">
      <c r="B1643" s="17"/>
    </row>
    <row r="1644" spans="2:2">
      <c r="B1644" s="17"/>
    </row>
    <row r="1645" spans="2:2">
      <c r="B1645" s="17"/>
    </row>
    <row r="1646" spans="2:2">
      <c r="B1646" s="17"/>
    </row>
    <row r="1647" spans="2:2">
      <c r="B1647" s="17"/>
    </row>
    <row r="1648" spans="2:2">
      <c r="B1648" s="17"/>
    </row>
    <row r="1649" spans="2:2">
      <c r="B1649" s="17"/>
    </row>
    <row r="1650" spans="2:2">
      <c r="B1650" s="17"/>
    </row>
    <row r="1651" spans="2:2">
      <c r="B1651" s="17"/>
    </row>
    <row r="1652" spans="2:2">
      <c r="B1652" s="17"/>
    </row>
    <row r="1653" spans="2:2">
      <c r="B1653" s="17"/>
    </row>
    <row r="1654" spans="2:2">
      <c r="B1654" s="17"/>
    </row>
    <row r="1655" spans="2:2">
      <c r="B1655" s="17"/>
    </row>
    <row r="1656" spans="2:2">
      <c r="B1656" s="17"/>
    </row>
    <row r="1657" spans="2:2">
      <c r="B1657" s="17"/>
    </row>
    <row r="1658" spans="2:2">
      <c r="B1658" s="17"/>
    </row>
    <row r="1659" spans="2:2">
      <c r="B1659" s="17"/>
    </row>
    <row r="1660" spans="2:2">
      <c r="B1660" s="17"/>
    </row>
    <row r="1661" spans="2:2">
      <c r="B1661" s="17"/>
    </row>
    <row r="1662" spans="2:2">
      <c r="B1662" s="17"/>
    </row>
    <row r="1663" spans="2:2">
      <c r="B1663" s="17"/>
    </row>
    <row r="1664" spans="2:2">
      <c r="B1664" s="17"/>
    </row>
    <row r="1665" spans="2:2">
      <c r="B1665" s="17"/>
    </row>
    <row r="1666" spans="2:2">
      <c r="B1666" s="17"/>
    </row>
    <row r="1667" spans="2:2">
      <c r="B1667" s="17"/>
    </row>
    <row r="1668" spans="2:2">
      <c r="B1668" s="17"/>
    </row>
    <row r="1669" spans="2:2">
      <c r="B1669" s="17"/>
    </row>
    <row r="1670" spans="2:2">
      <c r="B1670" s="17"/>
    </row>
    <row r="1671" spans="2:2">
      <c r="B1671" s="17"/>
    </row>
    <row r="1672" spans="2:2">
      <c r="B1672" s="17"/>
    </row>
    <row r="1673" spans="2:2">
      <c r="B1673" s="17"/>
    </row>
    <row r="1674" spans="2:2">
      <c r="B1674" s="17"/>
    </row>
    <row r="1675" spans="2:2">
      <c r="B1675" s="17"/>
    </row>
    <row r="1676" spans="2:2">
      <c r="B1676" s="17"/>
    </row>
    <row r="1677" spans="2:2">
      <c r="B1677" s="17"/>
    </row>
    <row r="1678" spans="2:2">
      <c r="B1678" s="17"/>
    </row>
    <row r="1679" spans="2:2">
      <c r="B1679" s="17"/>
    </row>
    <row r="1680" spans="2:2">
      <c r="B1680" s="17"/>
    </row>
    <row r="1681" spans="2:2">
      <c r="B1681" s="17"/>
    </row>
    <row r="1682" spans="2:2">
      <c r="B1682" s="17"/>
    </row>
    <row r="1683" spans="2:2">
      <c r="B1683" s="17"/>
    </row>
    <row r="1684" spans="2:2">
      <c r="B1684" s="17"/>
    </row>
    <row r="1685" spans="2:2">
      <c r="B1685" s="17"/>
    </row>
    <row r="1686" spans="2:2">
      <c r="B1686" s="17"/>
    </row>
    <row r="1687" spans="2:2">
      <c r="B1687" s="17"/>
    </row>
    <row r="1688" spans="2:2">
      <c r="B1688" s="17"/>
    </row>
    <row r="1689" spans="2:2">
      <c r="B1689" s="17"/>
    </row>
    <row r="1690" spans="2:2">
      <c r="B1690" s="17"/>
    </row>
    <row r="1691" spans="2:2">
      <c r="B1691" s="17"/>
    </row>
    <row r="1692" spans="2:2">
      <c r="B1692" s="17"/>
    </row>
    <row r="1693" spans="2:2">
      <c r="B1693" s="17"/>
    </row>
    <row r="1694" spans="2:2">
      <c r="B1694" s="17"/>
    </row>
    <row r="1695" spans="2:2">
      <c r="B1695" s="17"/>
    </row>
    <row r="1696" spans="2:2">
      <c r="B1696" s="17"/>
    </row>
    <row r="1697" spans="2:2">
      <c r="B1697" s="17"/>
    </row>
    <row r="1698" spans="2:2">
      <c r="B1698" s="17"/>
    </row>
    <row r="1699" spans="2:2">
      <c r="B1699" s="17"/>
    </row>
    <row r="1700" spans="2:2">
      <c r="B1700" s="17"/>
    </row>
    <row r="1701" spans="2:2">
      <c r="B1701" s="17"/>
    </row>
    <row r="1702" spans="2:2">
      <c r="B1702" s="17"/>
    </row>
    <row r="1703" spans="2:2">
      <c r="B1703" s="17"/>
    </row>
    <row r="1704" spans="2:2">
      <c r="B1704" s="17"/>
    </row>
    <row r="1705" spans="2:2">
      <c r="B1705" s="17"/>
    </row>
    <row r="1706" spans="2:2">
      <c r="B1706" s="17"/>
    </row>
    <row r="1707" spans="2:2">
      <c r="B1707" s="17"/>
    </row>
    <row r="1708" spans="2:2">
      <c r="B1708" s="17"/>
    </row>
    <row r="1709" spans="2:2">
      <c r="B1709" s="17"/>
    </row>
    <row r="1710" spans="2:2">
      <c r="B1710" s="17"/>
    </row>
    <row r="1711" spans="2:2">
      <c r="B1711" s="17"/>
    </row>
    <row r="1712" spans="2:2">
      <c r="B1712" s="17"/>
    </row>
    <row r="1713" spans="2:2">
      <c r="B1713" s="17"/>
    </row>
    <row r="1714" spans="2:2">
      <c r="B1714" s="17"/>
    </row>
    <row r="1715" spans="2:2">
      <c r="B1715" s="17"/>
    </row>
    <row r="1716" spans="2:2">
      <c r="B1716" s="17"/>
    </row>
    <row r="1717" spans="2:2">
      <c r="B1717" s="17"/>
    </row>
    <row r="1718" spans="2:2">
      <c r="B1718" s="17"/>
    </row>
    <row r="1719" spans="2:2">
      <c r="B1719" s="17"/>
    </row>
    <row r="1720" spans="2:2">
      <c r="B1720" s="17"/>
    </row>
    <row r="1721" spans="2:2">
      <c r="B1721" s="17"/>
    </row>
    <row r="1722" spans="2:2">
      <c r="B1722" s="17"/>
    </row>
    <row r="1723" spans="2:2">
      <c r="B1723" s="17"/>
    </row>
    <row r="1724" spans="2:2">
      <c r="B1724" s="17"/>
    </row>
    <row r="1725" spans="2:2">
      <c r="B1725" s="17"/>
    </row>
    <row r="1726" spans="2:2">
      <c r="B1726" s="17"/>
    </row>
    <row r="1727" spans="2:2">
      <c r="B1727" s="17"/>
    </row>
    <row r="1728" spans="2:2">
      <c r="B1728" s="17"/>
    </row>
    <row r="1729" spans="2:2">
      <c r="B1729" s="17"/>
    </row>
    <row r="1730" spans="2:2">
      <c r="B1730" s="17"/>
    </row>
    <row r="1731" spans="2:2">
      <c r="B1731" s="17"/>
    </row>
    <row r="1732" spans="2:2">
      <c r="B1732" s="17"/>
    </row>
    <row r="1733" spans="2:2">
      <c r="B1733" s="17"/>
    </row>
    <row r="1734" spans="2:2">
      <c r="B1734" s="17"/>
    </row>
    <row r="1735" spans="2:2">
      <c r="B1735" s="17"/>
    </row>
    <row r="1736" spans="2:2">
      <c r="B1736" s="17"/>
    </row>
    <row r="1737" spans="2:2">
      <c r="B1737" s="17"/>
    </row>
    <row r="1738" spans="2:2">
      <c r="B1738" s="17"/>
    </row>
    <row r="1739" spans="2:2">
      <c r="B1739" s="17"/>
    </row>
    <row r="1740" spans="2:2">
      <c r="B1740" s="17"/>
    </row>
    <row r="1741" spans="2:2">
      <c r="B1741" s="17"/>
    </row>
    <row r="1742" spans="2:2">
      <c r="B1742" s="17"/>
    </row>
    <row r="1743" spans="2:2">
      <c r="B1743" s="17"/>
    </row>
    <row r="1744" spans="2:2">
      <c r="B1744" s="17"/>
    </row>
    <row r="1745" spans="2:2">
      <c r="B1745" s="17"/>
    </row>
    <row r="1746" spans="2:2">
      <c r="B1746" s="17"/>
    </row>
    <row r="1747" spans="2:2">
      <c r="B1747" s="17"/>
    </row>
    <row r="1748" spans="2:2">
      <c r="B1748" s="17"/>
    </row>
    <row r="1749" spans="2:2">
      <c r="B1749" s="17"/>
    </row>
    <row r="1750" spans="2:2">
      <c r="B1750" s="17"/>
    </row>
    <row r="1751" spans="2:2">
      <c r="B1751" s="17"/>
    </row>
    <row r="1752" spans="2:2">
      <c r="B1752" s="17"/>
    </row>
    <row r="1753" spans="2:2">
      <c r="B1753" s="17"/>
    </row>
    <row r="1754" spans="2:2">
      <c r="B1754" s="17"/>
    </row>
    <row r="1755" spans="2:2">
      <c r="B1755" s="17"/>
    </row>
    <row r="1756" spans="2:2">
      <c r="B1756" s="17"/>
    </row>
    <row r="1757" spans="2:2">
      <c r="B1757" s="17"/>
    </row>
    <row r="1758" spans="2:2">
      <c r="B1758" s="17"/>
    </row>
    <row r="1759" spans="2:2">
      <c r="B1759" s="17"/>
    </row>
    <row r="1760" spans="2:2">
      <c r="B1760" s="17"/>
    </row>
    <row r="1761" spans="2:2">
      <c r="B1761" s="17"/>
    </row>
    <row r="1762" spans="2:2">
      <c r="B1762" s="17"/>
    </row>
    <row r="1763" spans="2:2">
      <c r="B1763" s="17"/>
    </row>
    <row r="1764" spans="2:2">
      <c r="B1764" s="17"/>
    </row>
    <row r="1765" spans="2:2">
      <c r="B1765" s="17"/>
    </row>
    <row r="1766" spans="2:2">
      <c r="B1766" s="17"/>
    </row>
    <row r="1767" spans="2:2">
      <c r="B1767" s="17"/>
    </row>
    <row r="1768" spans="2:2">
      <c r="B1768" s="17"/>
    </row>
    <row r="1769" spans="2:2">
      <c r="B1769" s="17"/>
    </row>
    <row r="1770" spans="2:2">
      <c r="B1770" s="17"/>
    </row>
    <row r="1771" spans="2:2">
      <c r="B1771" s="17"/>
    </row>
    <row r="1772" spans="2:2">
      <c r="B1772" s="17"/>
    </row>
    <row r="1773" spans="2:2">
      <c r="B1773" s="17"/>
    </row>
    <row r="1774" spans="2:2">
      <c r="B1774" s="17"/>
    </row>
    <row r="1775" spans="2:2">
      <c r="B1775" s="17"/>
    </row>
    <row r="1776" spans="2:2">
      <c r="B1776" s="17"/>
    </row>
    <row r="1777" spans="2:2">
      <c r="B1777" s="17"/>
    </row>
    <row r="1778" spans="2:2">
      <c r="B1778" s="17"/>
    </row>
    <row r="1779" spans="2:2">
      <c r="B1779" s="17"/>
    </row>
    <row r="1780" spans="2:2">
      <c r="B1780" s="17"/>
    </row>
    <row r="1781" spans="2:2">
      <c r="B1781" s="17"/>
    </row>
    <row r="1782" spans="2:2">
      <c r="B1782" s="17"/>
    </row>
    <row r="1783" spans="2:2">
      <c r="B1783" s="17"/>
    </row>
    <row r="1784" spans="2:2">
      <c r="B1784" s="17"/>
    </row>
    <row r="1785" spans="2:2">
      <c r="B1785" s="17"/>
    </row>
    <row r="1786" spans="2:2">
      <c r="B1786" s="17"/>
    </row>
    <row r="1787" spans="2:2">
      <c r="B1787" s="17"/>
    </row>
    <row r="1788" spans="2:2">
      <c r="B1788" s="17"/>
    </row>
    <row r="1789" spans="2:2">
      <c r="B1789" s="17"/>
    </row>
    <row r="1790" spans="2:2">
      <c r="B1790" s="17"/>
    </row>
    <row r="1791" spans="2:2">
      <c r="B1791" s="17"/>
    </row>
    <row r="1792" spans="2:2">
      <c r="B1792" s="17"/>
    </row>
    <row r="1793" spans="2:2">
      <c r="B1793" s="17"/>
    </row>
    <row r="1794" spans="2:2">
      <c r="B1794" s="17"/>
    </row>
    <row r="1795" spans="2:2">
      <c r="B1795" s="17"/>
    </row>
    <row r="1796" spans="2:2">
      <c r="B1796" s="17"/>
    </row>
    <row r="1797" spans="2:2">
      <c r="B1797" s="17"/>
    </row>
    <row r="1798" spans="2:2">
      <c r="B1798" s="17"/>
    </row>
    <row r="1799" spans="2:2">
      <c r="B1799" s="17"/>
    </row>
    <row r="1800" spans="2:2">
      <c r="B1800" s="17"/>
    </row>
    <row r="1801" spans="2:2">
      <c r="B1801" s="17"/>
    </row>
    <row r="1802" spans="2:2">
      <c r="B1802" s="17"/>
    </row>
    <row r="1803" spans="2:2">
      <c r="B1803" s="17"/>
    </row>
    <row r="1804" spans="2:2">
      <c r="B1804" s="17"/>
    </row>
    <row r="1805" spans="2:2">
      <c r="B1805" s="17"/>
    </row>
    <row r="1806" spans="2:2">
      <c r="B1806" s="17"/>
    </row>
    <row r="1807" spans="2:2">
      <c r="B1807" s="17"/>
    </row>
    <row r="1808" spans="2:2">
      <c r="B1808" s="17"/>
    </row>
    <row r="1809" spans="2:2">
      <c r="B1809" s="17"/>
    </row>
    <row r="1810" spans="2:2">
      <c r="B1810" s="17"/>
    </row>
    <row r="1811" spans="2:2">
      <c r="B1811" s="17"/>
    </row>
    <row r="1812" spans="2:2">
      <c r="B1812" s="17"/>
    </row>
    <row r="1813" spans="2:2">
      <c r="B1813" s="17"/>
    </row>
    <row r="1814" spans="2:2">
      <c r="B1814" s="17"/>
    </row>
    <row r="1815" spans="2:2">
      <c r="B1815" s="17"/>
    </row>
    <row r="1816" spans="2:2">
      <c r="B1816" s="17"/>
    </row>
    <row r="1817" spans="2:2">
      <c r="B1817" s="17"/>
    </row>
    <row r="1818" spans="2:2">
      <c r="B1818" s="17"/>
    </row>
    <row r="1819" spans="2:2">
      <c r="B1819" s="17"/>
    </row>
    <row r="1820" spans="2:2">
      <c r="B1820" s="17"/>
    </row>
    <row r="1821" spans="2:2">
      <c r="B1821" s="17"/>
    </row>
    <row r="1822" spans="2:2">
      <c r="B1822" s="17"/>
    </row>
    <row r="1823" spans="2:2">
      <c r="B1823" s="17"/>
    </row>
    <row r="1824" spans="2:2">
      <c r="B1824" s="17"/>
    </row>
    <row r="1825" spans="2:2">
      <c r="B1825" s="17"/>
    </row>
    <row r="1826" spans="2:2">
      <c r="B1826" s="17"/>
    </row>
    <row r="1827" spans="2:2">
      <c r="B1827" s="17"/>
    </row>
    <row r="1828" spans="2:2">
      <c r="B1828" s="17"/>
    </row>
    <row r="1829" spans="2:2">
      <c r="B1829" s="17"/>
    </row>
    <row r="1830" spans="2:2">
      <c r="B1830" s="17"/>
    </row>
    <row r="1831" spans="2:2">
      <c r="B1831" s="17"/>
    </row>
    <row r="1832" spans="2:2">
      <c r="B1832" s="17"/>
    </row>
    <row r="1833" spans="2:2">
      <c r="B1833" s="17"/>
    </row>
    <row r="1834" spans="2:2">
      <c r="B1834" s="17"/>
    </row>
    <row r="1835" spans="2:2">
      <c r="B1835" s="17"/>
    </row>
    <row r="1836" spans="2:2">
      <c r="B1836" s="17"/>
    </row>
    <row r="1837" spans="2:2">
      <c r="B1837" s="17"/>
    </row>
    <row r="1838" spans="2:2">
      <c r="B1838" s="17"/>
    </row>
    <row r="1839" spans="2:2">
      <c r="B1839" s="17"/>
    </row>
    <row r="1840" spans="2:2">
      <c r="B1840" s="17"/>
    </row>
    <row r="1841" spans="2:2">
      <c r="B1841" s="17"/>
    </row>
    <row r="1842" spans="2:2">
      <c r="B1842" s="17"/>
    </row>
    <row r="1843" spans="2:2">
      <c r="B1843" s="17"/>
    </row>
    <row r="1844" spans="2:2">
      <c r="B1844" s="17"/>
    </row>
    <row r="1845" spans="2:2">
      <c r="B1845" s="17"/>
    </row>
    <row r="1846" spans="2:2">
      <c r="B1846" s="17"/>
    </row>
    <row r="1847" spans="2:2">
      <c r="B1847" s="17"/>
    </row>
    <row r="1848" spans="2:2">
      <c r="B1848" s="17"/>
    </row>
    <row r="1849" spans="2:2">
      <c r="B1849" s="17"/>
    </row>
    <row r="1850" spans="2:2">
      <c r="B1850" s="17"/>
    </row>
    <row r="1851" spans="2:2">
      <c r="B1851" s="17"/>
    </row>
    <row r="1852" spans="2:2">
      <c r="B1852" s="17"/>
    </row>
    <row r="1853" spans="2:2">
      <c r="B1853" s="17"/>
    </row>
    <row r="1854" spans="2:2">
      <c r="B1854" s="17"/>
    </row>
    <row r="1855" spans="2:2">
      <c r="B1855" s="17"/>
    </row>
    <row r="1856" spans="2:2">
      <c r="B1856" s="17"/>
    </row>
    <row r="1857" spans="2:2">
      <c r="B1857" s="17"/>
    </row>
    <row r="1858" spans="2:2">
      <c r="B1858" s="17"/>
    </row>
    <row r="1859" spans="2:2">
      <c r="B1859" s="17"/>
    </row>
    <row r="1860" spans="2:2">
      <c r="B1860" s="17"/>
    </row>
    <row r="1861" spans="2:2">
      <c r="B1861" s="17"/>
    </row>
    <row r="1862" spans="2:2">
      <c r="B1862" s="17"/>
    </row>
    <row r="1863" spans="2:2">
      <c r="B1863" s="17"/>
    </row>
    <row r="1864" spans="2:2">
      <c r="B1864" s="17"/>
    </row>
    <row r="1865" spans="2:2">
      <c r="B1865" s="17"/>
    </row>
    <row r="1866" spans="2:2">
      <c r="B1866" s="17"/>
    </row>
    <row r="1867" spans="2:2">
      <c r="B1867" s="17"/>
    </row>
    <row r="1868" spans="2:2">
      <c r="B1868" s="17"/>
    </row>
    <row r="1869" spans="2:2">
      <c r="B1869" s="17"/>
    </row>
    <row r="1870" spans="2:2">
      <c r="B1870" s="17"/>
    </row>
    <row r="1871" spans="2:2">
      <c r="B1871" s="17"/>
    </row>
    <row r="1872" spans="2:2">
      <c r="B1872" s="17"/>
    </row>
    <row r="1873" spans="2:2">
      <c r="B1873" s="17"/>
    </row>
    <row r="1874" spans="2:2">
      <c r="B1874" s="17"/>
    </row>
    <row r="1875" spans="2:2">
      <c r="B1875" s="17"/>
    </row>
    <row r="1876" spans="2:2">
      <c r="B1876" s="17"/>
    </row>
    <row r="1877" spans="2:2">
      <c r="B1877" s="17"/>
    </row>
    <row r="1878" spans="2:2">
      <c r="B1878" s="17"/>
    </row>
    <row r="1879" spans="2:2">
      <c r="B1879" s="17"/>
    </row>
    <row r="1880" spans="2:2">
      <c r="B1880" s="17"/>
    </row>
    <row r="1881" spans="2:2">
      <c r="B1881" s="17"/>
    </row>
    <row r="1882" spans="2:2">
      <c r="B1882" s="17"/>
    </row>
    <row r="1883" spans="2:2">
      <c r="B1883" s="17"/>
    </row>
    <row r="1884" spans="2:2">
      <c r="B1884" s="17"/>
    </row>
    <row r="1885" spans="2:2">
      <c r="B1885" s="17"/>
    </row>
    <row r="1886" spans="2:2">
      <c r="B1886" s="17"/>
    </row>
    <row r="1887" spans="2:2">
      <c r="B1887" s="17"/>
    </row>
    <row r="1888" spans="2:2">
      <c r="B1888" s="17"/>
    </row>
    <row r="1889" spans="2:2">
      <c r="B1889" s="17"/>
    </row>
    <row r="1890" spans="2:2">
      <c r="B1890" s="17"/>
    </row>
    <row r="1891" spans="2:2">
      <c r="B1891" s="17"/>
    </row>
    <row r="1892" spans="2:2">
      <c r="B1892" s="17"/>
    </row>
    <row r="1893" spans="2:2">
      <c r="B1893" s="17"/>
    </row>
    <row r="1894" spans="2:2">
      <c r="B1894" s="17"/>
    </row>
    <row r="1895" spans="2:2">
      <c r="B1895" s="17"/>
    </row>
    <row r="1896" spans="2:2">
      <c r="B1896" s="17"/>
    </row>
    <row r="1897" spans="2:2">
      <c r="B1897" s="17"/>
    </row>
    <row r="1898" spans="2:2">
      <c r="B1898" s="17"/>
    </row>
    <row r="1899" spans="2:2">
      <c r="B1899" s="17"/>
    </row>
    <row r="1900" spans="2:2">
      <c r="B1900" s="17"/>
    </row>
    <row r="1901" spans="2:2">
      <c r="B1901" s="17"/>
    </row>
    <row r="1902" spans="2:2">
      <c r="B1902" s="17"/>
    </row>
    <row r="1903" spans="2:2">
      <c r="B1903" s="17"/>
    </row>
    <row r="1904" spans="2:2">
      <c r="B1904" s="17"/>
    </row>
    <row r="1905" spans="2:2">
      <c r="B1905" s="17"/>
    </row>
    <row r="1906" spans="2:2">
      <c r="B1906" s="17"/>
    </row>
    <row r="1907" spans="2:2">
      <c r="B1907" s="17"/>
    </row>
    <row r="1908" spans="2:2">
      <c r="B1908" s="17"/>
    </row>
    <row r="1909" spans="2:2">
      <c r="B1909" s="17"/>
    </row>
    <row r="1910" spans="2:2">
      <c r="B1910" s="17"/>
    </row>
    <row r="1911" spans="2:2">
      <c r="B1911" s="17"/>
    </row>
    <row r="1912" spans="2:2">
      <c r="B1912" s="17"/>
    </row>
    <row r="1913" spans="2:2">
      <c r="B1913" s="17"/>
    </row>
    <row r="1914" spans="2:2">
      <c r="B1914" s="17"/>
    </row>
    <row r="1915" spans="2:2">
      <c r="B1915" s="17"/>
    </row>
    <row r="1916" spans="2:2">
      <c r="B1916" s="17"/>
    </row>
    <row r="1917" spans="2:2">
      <c r="B1917" s="17"/>
    </row>
    <row r="1918" spans="2:2">
      <c r="B1918" s="17"/>
    </row>
    <row r="1919" spans="2:2">
      <c r="B1919" s="17"/>
    </row>
    <row r="1920" spans="2:2">
      <c r="B1920" s="17"/>
    </row>
    <row r="1921" spans="2:2">
      <c r="B1921" s="17"/>
    </row>
    <row r="1922" spans="2:2">
      <c r="B1922" s="17"/>
    </row>
    <row r="1923" spans="2:2">
      <c r="B1923" s="17"/>
    </row>
    <row r="1924" spans="2:2">
      <c r="B1924" s="17"/>
    </row>
    <row r="1925" spans="2:2">
      <c r="B1925" s="17"/>
    </row>
    <row r="1926" spans="2:2">
      <c r="B1926" s="17"/>
    </row>
    <row r="1927" spans="2:2">
      <c r="B1927" s="17"/>
    </row>
    <row r="1928" spans="2:2">
      <c r="B1928" s="17"/>
    </row>
    <row r="1929" spans="2:2">
      <c r="B1929" s="17"/>
    </row>
    <row r="1930" spans="2:2">
      <c r="B1930" s="17"/>
    </row>
    <row r="1931" spans="2:2">
      <c r="B1931" s="17"/>
    </row>
    <row r="1932" spans="2:2">
      <c r="B1932" s="17"/>
    </row>
    <row r="1933" spans="2:2">
      <c r="B1933" s="17"/>
    </row>
    <row r="1934" spans="2:2">
      <c r="B1934" s="17"/>
    </row>
    <row r="1935" spans="2:2">
      <c r="B1935" s="17"/>
    </row>
    <row r="1936" spans="2:2">
      <c r="B1936" s="17"/>
    </row>
    <row r="1937" spans="2:2">
      <c r="B1937" s="17"/>
    </row>
    <row r="1938" spans="2:2">
      <c r="B1938" s="17"/>
    </row>
    <row r="1939" spans="2:2">
      <c r="B1939" s="17"/>
    </row>
    <row r="1940" spans="2:2">
      <c r="B1940" s="17"/>
    </row>
    <row r="1941" spans="2:2">
      <c r="B1941" s="17"/>
    </row>
    <row r="1942" spans="2:2">
      <c r="B1942" s="17"/>
    </row>
    <row r="1943" spans="2:2">
      <c r="B1943" s="17"/>
    </row>
    <row r="1944" spans="2:2">
      <c r="B1944" s="17"/>
    </row>
    <row r="1945" spans="2:2">
      <c r="B1945" s="17"/>
    </row>
    <row r="1946" spans="2:2">
      <c r="B1946" s="17"/>
    </row>
    <row r="1947" spans="2:2">
      <c r="B1947" s="17"/>
    </row>
    <row r="1948" spans="2:2">
      <c r="B1948" s="17"/>
    </row>
    <row r="1949" spans="2:2">
      <c r="B1949" s="17"/>
    </row>
    <row r="1950" spans="2:2">
      <c r="B1950" s="17"/>
    </row>
    <row r="1951" spans="2:2">
      <c r="B1951" s="17"/>
    </row>
    <row r="1952" spans="2:2">
      <c r="B1952" s="17"/>
    </row>
    <row r="1953" spans="2:2">
      <c r="B1953" s="17"/>
    </row>
    <row r="1954" spans="2:2">
      <c r="B1954" s="17"/>
    </row>
    <row r="1955" spans="2:2">
      <c r="B1955" s="17"/>
    </row>
    <row r="1956" spans="2:2">
      <c r="B1956" s="17"/>
    </row>
    <row r="1957" spans="2:2">
      <c r="B1957" s="17"/>
    </row>
    <row r="1958" spans="2:2">
      <c r="B1958" s="17"/>
    </row>
    <row r="1959" spans="2:2">
      <c r="B1959" s="17"/>
    </row>
    <row r="1960" spans="2:2">
      <c r="B1960" s="17"/>
    </row>
    <row r="1961" spans="2:2">
      <c r="B1961" s="17"/>
    </row>
    <row r="1962" spans="2:2">
      <c r="B1962" s="17"/>
    </row>
    <row r="1963" spans="2:2">
      <c r="B1963" s="17"/>
    </row>
    <row r="1964" spans="2:2">
      <c r="B1964" s="17"/>
    </row>
    <row r="1965" spans="2:2">
      <c r="B1965" s="17"/>
    </row>
    <row r="1966" spans="2:2">
      <c r="B1966" s="17"/>
    </row>
    <row r="1967" spans="2:2">
      <c r="B1967" s="17"/>
    </row>
    <row r="1968" spans="2:2">
      <c r="B1968" s="17"/>
    </row>
    <row r="1969" spans="2:2">
      <c r="B1969" s="17"/>
    </row>
    <row r="1970" spans="2:2">
      <c r="B1970" s="17"/>
    </row>
    <row r="1971" spans="2:2">
      <c r="B1971" s="17"/>
    </row>
    <row r="1972" spans="2:2">
      <c r="B1972" s="17"/>
    </row>
    <row r="1973" spans="2:2">
      <c r="B1973" s="17"/>
    </row>
    <row r="1974" spans="2:2">
      <c r="B1974" s="17"/>
    </row>
    <row r="1975" spans="2:2">
      <c r="B1975" s="17"/>
    </row>
    <row r="1976" spans="2:2">
      <c r="B1976" s="17"/>
    </row>
    <row r="1977" spans="2:2">
      <c r="B1977" s="17"/>
    </row>
    <row r="1978" spans="2:2">
      <c r="B1978" s="17"/>
    </row>
    <row r="1979" spans="2:2">
      <c r="B1979" s="17"/>
    </row>
    <row r="1980" spans="2:2">
      <c r="B1980" s="17"/>
    </row>
    <row r="1981" spans="2:2">
      <c r="B1981" s="17"/>
    </row>
    <row r="1982" spans="2:2">
      <c r="B1982" s="17"/>
    </row>
    <row r="1983" spans="2:2">
      <c r="B1983" s="17"/>
    </row>
    <row r="1984" spans="2:2">
      <c r="B1984" s="17"/>
    </row>
    <row r="1985" spans="2:2">
      <c r="B1985" s="17"/>
    </row>
    <row r="1986" spans="2:2">
      <c r="B1986" s="17"/>
    </row>
    <row r="1987" spans="2:2">
      <c r="B1987" s="17"/>
    </row>
    <row r="1988" spans="2:2">
      <c r="B1988" s="17"/>
    </row>
    <row r="1989" spans="2:2">
      <c r="B1989" s="17"/>
    </row>
    <row r="1990" spans="2:2">
      <c r="B1990" s="17"/>
    </row>
    <row r="1991" spans="2:2">
      <c r="B1991" s="17"/>
    </row>
    <row r="1992" spans="2:2">
      <c r="B1992" s="17"/>
    </row>
    <row r="1993" spans="2:2">
      <c r="B1993" s="17"/>
    </row>
    <row r="1994" spans="2:2">
      <c r="B1994" s="17"/>
    </row>
    <row r="1995" spans="2:2">
      <c r="B1995" s="17"/>
    </row>
    <row r="1996" spans="2:2">
      <c r="B1996" s="17"/>
    </row>
    <row r="1997" spans="2:2">
      <c r="B1997" s="17"/>
    </row>
    <row r="1998" spans="2:2">
      <c r="B1998" s="17"/>
    </row>
    <row r="1999" spans="2:2">
      <c r="B1999" s="17"/>
    </row>
    <row r="2000" spans="2:2">
      <c r="B2000" s="17"/>
    </row>
    <row r="2001" spans="2:2">
      <c r="B2001" s="17"/>
    </row>
    <row r="2002" spans="2:2">
      <c r="B2002" s="17"/>
    </row>
    <row r="2003" spans="2:2">
      <c r="B2003" s="17"/>
    </row>
    <row r="2004" spans="2:2">
      <c r="B2004" s="17"/>
    </row>
    <row r="2005" spans="2:2">
      <c r="B2005" s="17"/>
    </row>
    <row r="2006" spans="2:2">
      <c r="B2006" s="17"/>
    </row>
    <row r="2007" spans="2:2">
      <c r="B2007" s="17"/>
    </row>
    <row r="2008" spans="2:2">
      <c r="B2008" s="17"/>
    </row>
    <row r="2009" spans="2:2">
      <c r="B2009" s="17"/>
    </row>
    <row r="2010" spans="2:2">
      <c r="B2010" s="17"/>
    </row>
    <row r="2011" spans="2:2">
      <c r="B2011" s="17"/>
    </row>
    <row r="2012" spans="2:2">
      <c r="B2012" s="17"/>
    </row>
    <row r="2013" spans="2:2">
      <c r="B2013" s="17"/>
    </row>
    <row r="2014" spans="2:2">
      <c r="B2014" s="17"/>
    </row>
    <row r="2015" spans="2:2">
      <c r="B2015" s="17"/>
    </row>
    <row r="2016" spans="2:2">
      <c r="B2016" s="17"/>
    </row>
    <row r="2017" spans="2:2">
      <c r="B2017" s="17"/>
    </row>
    <row r="2018" spans="2:2">
      <c r="B2018" s="17"/>
    </row>
    <row r="2019" spans="2:2">
      <c r="B2019" s="17"/>
    </row>
    <row r="2020" spans="2:2">
      <c r="B2020" s="17"/>
    </row>
    <row r="2021" spans="2:2">
      <c r="B2021" s="17"/>
    </row>
    <row r="2022" spans="2:2">
      <c r="B2022" s="17"/>
    </row>
    <row r="2023" spans="2:2">
      <c r="B2023" s="17"/>
    </row>
    <row r="2024" spans="2:2">
      <c r="B2024" s="17"/>
    </row>
    <row r="2025" spans="2:2">
      <c r="B2025" s="17"/>
    </row>
    <row r="2026" spans="2:2">
      <c r="B2026" s="17"/>
    </row>
    <row r="2027" spans="2:2">
      <c r="B2027" s="17"/>
    </row>
    <row r="2028" spans="2:2">
      <c r="B2028" s="17"/>
    </row>
    <row r="2029" spans="2:2">
      <c r="B2029" s="17"/>
    </row>
    <row r="2030" spans="2:2">
      <c r="B2030" s="17"/>
    </row>
    <row r="2031" spans="2:2">
      <c r="B2031" s="17"/>
    </row>
    <row r="2032" spans="2:2">
      <c r="B2032" s="17"/>
    </row>
    <row r="2033" spans="2:2">
      <c r="B2033" s="17"/>
    </row>
    <row r="2034" spans="2:2">
      <c r="B2034" s="17"/>
    </row>
    <row r="2035" spans="2:2">
      <c r="B2035" s="17"/>
    </row>
    <row r="2036" spans="2:2">
      <c r="B2036" s="17"/>
    </row>
    <row r="2037" spans="2:2">
      <c r="B2037" s="17"/>
    </row>
    <row r="2038" spans="2:2">
      <c r="B2038" s="17"/>
    </row>
    <row r="2039" spans="2:2">
      <c r="B2039" s="17"/>
    </row>
    <row r="2040" spans="2:2">
      <c r="B2040" s="17"/>
    </row>
    <row r="2041" spans="2:2">
      <c r="B2041" s="17"/>
    </row>
    <row r="2042" spans="2:2">
      <c r="B2042" s="17"/>
    </row>
    <row r="2043" spans="2:2">
      <c r="B2043" s="17"/>
    </row>
    <row r="2044" spans="2:2">
      <c r="B2044" s="17"/>
    </row>
    <row r="2045" spans="2:2">
      <c r="B2045" s="17"/>
    </row>
    <row r="2046" spans="2:2">
      <c r="B2046" s="17"/>
    </row>
    <row r="2047" spans="2:2">
      <c r="B2047" s="17"/>
    </row>
    <row r="2048" spans="2:2">
      <c r="B2048" s="17"/>
    </row>
    <row r="2049" spans="2:2">
      <c r="B2049" s="17"/>
    </row>
    <row r="2050" spans="2:2">
      <c r="B2050" s="17"/>
    </row>
    <row r="2051" spans="2:2">
      <c r="B2051" s="17"/>
    </row>
    <row r="2052" spans="2:2">
      <c r="B2052" s="17"/>
    </row>
    <row r="2053" spans="2:2">
      <c r="B2053" s="17"/>
    </row>
    <row r="2054" spans="2:2">
      <c r="B2054" s="17"/>
    </row>
    <row r="2055" spans="2:2">
      <c r="B2055" s="17"/>
    </row>
    <row r="2056" spans="2:2">
      <c r="B2056" s="17"/>
    </row>
    <row r="2057" spans="2:2">
      <c r="B2057" s="17"/>
    </row>
    <row r="2058" spans="2:2">
      <c r="B2058" s="17"/>
    </row>
    <row r="2059" spans="2:2">
      <c r="B2059" s="17"/>
    </row>
    <row r="2060" spans="2:2">
      <c r="B2060" s="17"/>
    </row>
    <row r="2061" spans="2:2">
      <c r="B2061" s="17"/>
    </row>
    <row r="2062" spans="2:2">
      <c r="B2062" s="17"/>
    </row>
    <row r="2063" spans="2:2">
      <c r="B2063" s="17"/>
    </row>
    <row r="2064" spans="2:2">
      <c r="B2064" s="17"/>
    </row>
    <row r="2065" spans="2:2">
      <c r="B2065" s="17"/>
    </row>
    <row r="2066" spans="2:2">
      <c r="B2066" s="17"/>
    </row>
    <row r="2067" spans="2:2">
      <c r="B2067" s="17"/>
    </row>
    <row r="2068" spans="2:2">
      <c r="B2068" s="17"/>
    </row>
    <row r="2069" spans="2:2">
      <c r="B2069" s="17"/>
    </row>
    <row r="2070" spans="2:2">
      <c r="B2070" s="17"/>
    </row>
    <row r="2071" spans="2:2">
      <c r="B2071" s="17"/>
    </row>
    <row r="2072" spans="2:2">
      <c r="B2072" s="17"/>
    </row>
    <row r="2073" spans="2:2">
      <c r="B2073" s="17"/>
    </row>
    <row r="2074" spans="2:2">
      <c r="B2074" s="17"/>
    </row>
    <row r="2075" spans="2:2">
      <c r="B2075" s="17"/>
    </row>
    <row r="2076" spans="2:2">
      <c r="B2076" s="17"/>
    </row>
    <row r="2077" spans="2:2">
      <c r="B2077" s="17"/>
    </row>
    <row r="2078" spans="2:2">
      <c r="B2078" s="17"/>
    </row>
    <row r="2079" spans="2:2">
      <c r="B2079" s="17"/>
    </row>
    <row r="2080" spans="2:2">
      <c r="B2080" s="17"/>
    </row>
    <row r="2081" spans="2:2">
      <c r="B2081" s="17"/>
    </row>
    <row r="2082" spans="2:2">
      <c r="B2082" s="17"/>
    </row>
    <row r="2083" spans="2:2">
      <c r="B2083" s="17"/>
    </row>
    <row r="2084" spans="2:2">
      <c r="B2084" s="17"/>
    </row>
    <row r="2085" spans="2:2">
      <c r="B2085" s="17"/>
    </row>
    <row r="2086" spans="2:2">
      <c r="B2086" s="17"/>
    </row>
    <row r="2087" spans="2:2">
      <c r="B2087" s="17"/>
    </row>
    <row r="2088" spans="2:2">
      <c r="B2088" s="17"/>
    </row>
    <row r="2089" spans="2:2">
      <c r="B2089" s="17"/>
    </row>
    <row r="2090" spans="2:2">
      <c r="B2090" s="17"/>
    </row>
    <row r="2091" spans="2:2">
      <c r="B2091" s="17"/>
    </row>
    <row r="2092" spans="2:2">
      <c r="B2092" s="17"/>
    </row>
    <row r="2093" spans="2:2">
      <c r="B2093" s="17"/>
    </row>
    <row r="2094" spans="2:2">
      <c r="B2094" s="17"/>
    </row>
    <row r="2095" spans="2:2">
      <c r="B2095" s="17"/>
    </row>
    <row r="2096" spans="2:2">
      <c r="B2096" s="17"/>
    </row>
    <row r="2097" spans="2:2">
      <c r="B2097" s="17"/>
    </row>
    <row r="2098" spans="2:2">
      <c r="B2098" s="17"/>
    </row>
    <row r="2099" spans="2:2">
      <c r="B2099" s="17"/>
    </row>
    <row r="2100" spans="2:2">
      <c r="B2100" s="17"/>
    </row>
    <row r="2101" spans="2:2">
      <c r="B2101" s="17"/>
    </row>
    <row r="2102" spans="2:2">
      <c r="B2102" s="17"/>
    </row>
    <row r="2103" spans="2:2">
      <c r="B2103" s="17"/>
    </row>
    <row r="2104" spans="2:2">
      <c r="B2104" s="17"/>
    </row>
    <row r="2105" spans="2:2">
      <c r="B2105" s="17"/>
    </row>
    <row r="2106" spans="2:2">
      <c r="B2106" s="17"/>
    </row>
    <row r="2107" spans="2:2">
      <c r="B2107" s="17"/>
    </row>
    <row r="2108" spans="2:2">
      <c r="B2108" s="17"/>
    </row>
    <row r="2109" spans="2:2">
      <c r="B2109" s="17"/>
    </row>
    <row r="2110" spans="2:2">
      <c r="B2110" s="17"/>
    </row>
    <row r="2111" spans="2:2">
      <c r="B2111" s="17"/>
    </row>
    <row r="2112" spans="2:2">
      <c r="B2112" s="17"/>
    </row>
    <row r="2113" spans="2:2">
      <c r="B2113" s="17"/>
    </row>
    <row r="2114" spans="2:2">
      <c r="B2114" s="17"/>
    </row>
    <row r="2115" spans="2:2">
      <c r="B2115" s="17"/>
    </row>
    <row r="2116" spans="2:2">
      <c r="B2116" s="17"/>
    </row>
    <row r="2117" spans="2:2">
      <c r="B2117" s="17"/>
    </row>
    <row r="2118" spans="2:2">
      <c r="B2118" s="17"/>
    </row>
    <row r="2119" spans="2:2">
      <c r="B2119" s="17"/>
    </row>
    <row r="2120" spans="2:2">
      <c r="B2120" s="17"/>
    </row>
    <row r="2121" spans="2:2">
      <c r="B2121" s="17"/>
    </row>
    <row r="2122" spans="2:2">
      <c r="B2122" s="17"/>
    </row>
    <row r="2123" spans="2:2">
      <c r="B2123" s="17"/>
    </row>
    <row r="2124" spans="2:2">
      <c r="B2124" s="17"/>
    </row>
    <row r="2125" spans="2:2">
      <c r="B2125" s="17"/>
    </row>
    <row r="2126" spans="2:2">
      <c r="B2126" s="17"/>
    </row>
    <row r="2127" spans="2:2">
      <c r="B2127" s="17"/>
    </row>
    <row r="2128" spans="2:2">
      <c r="B2128" s="17"/>
    </row>
    <row r="2129" spans="2:2">
      <c r="B2129" s="17"/>
    </row>
    <row r="2130" spans="2:2">
      <c r="B2130" s="17"/>
    </row>
    <row r="2131" spans="2:2">
      <c r="B2131" s="17"/>
    </row>
    <row r="2132" spans="2:2">
      <c r="B2132" s="17"/>
    </row>
    <row r="2133" spans="2:2">
      <c r="B2133" s="17"/>
    </row>
    <row r="2134" spans="2:2">
      <c r="B2134" s="17"/>
    </row>
    <row r="2135" spans="2:2">
      <c r="B2135" s="17"/>
    </row>
    <row r="2136" spans="2:2">
      <c r="B2136" s="17"/>
    </row>
    <row r="2137" spans="2:2">
      <c r="B2137" s="17"/>
    </row>
    <row r="2138" spans="2:2">
      <c r="B2138" s="17"/>
    </row>
    <row r="2139" spans="2:2">
      <c r="B2139" s="17"/>
    </row>
    <row r="2140" spans="2:2">
      <c r="B2140" s="17"/>
    </row>
    <row r="2141" spans="2:2">
      <c r="B2141" s="17"/>
    </row>
    <row r="2142" spans="2:2">
      <c r="B2142" s="17"/>
    </row>
    <row r="2143" spans="2:2">
      <c r="B2143" s="17"/>
    </row>
    <row r="2144" spans="2:2">
      <c r="B2144" s="17"/>
    </row>
    <row r="2145" spans="2:2">
      <c r="B2145" s="17"/>
    </row>
    <row r="2146" spans="2:2">
      <c r="B2146" s="17"/>
    </row>
    <row r="2147" spans="2:2">
      <c r="B2147" s="17"/>
    </row>
    <row r="2148" spans="2:2">
      <c r="B2148" s="17"/>
    </row>
    <row r="2149" spans="2:2">
      <c r="B2149" s="17"/>
    </row>
    <row r="2150" spans="2:2">
      <c r="B2150" s="17"/>
    </row>
    <row r="2151" spans="2:2">
      <c r="B2151" s="17"/>
    </row>
    <row r="2152" spans="2:2">
      <c r="B2152" s="17"/>
    </row>
    <row r="2153" spans="2:2">
      <c r="B2153" s="17"/>
    </row>
    <row r="2154" spans="2:2">
      <c r="B2154" s="17"/>
    </row>
    <row r="2155" spans="2:2">
      <c r="B2155" s="17"/>
    </row>
    <row r="2156" spans="2:2">
      <c r="B2156" s="17"/>
    </row>
    <row r="2157" spans="2:2">
      <c r="B2157" s="17"/>
    </row>
    <row r="2158" spans="2:2">
      <c r="B2158" s="17"/>
    </row>
    <row r="2159" spans="2:2">
      <c r="B2159" s="17"/>
    </row>
    <row r="2160" spans="2:2">
      <c r="B2160" s="17"/>
    </row>
    <row r="2161" spans="2:2">
      <c r="B2161" s="17"/>
    </row>
    <row r="2162" spans="2:2">
      <c r="B2162" s="17"/>
    </row>
    <row r="2163" spans="2:2">
      <c r="B2163" s="17"/>
    </row>
    <row r="2164" spans="2:2">
      <c r="B2164" s="17"/>
    </row>
    <row r="2165" spans="2:2">
      <c r="B2165" s="17"/>
    </row>
    <row r="2166" spans="2:2">
      <c r="B2166" s="17"/>
    </row>
    <row r="2167" spans="2:2">
      <c r="B2167" s="17"/>
    </row>
    <row r="2168" spans="2:2">
      <c r="B2168" s="17"/>
    </row>
    <row r="2169" spans="2:2">
      <c r="B2169" s="17"/>
    </row>
    <row r="2170" spans="2:2">
      <c r="B2170" s="17"/>
    </row>
    <row r="2171" spans="2:2">
      <c r="B2171" s="17"/>
    </row>
    <row r="2172" spans="2:2">
      <c r="B2172" s="17"/>
    </row>
    <row r="2173" spans="2:2">
      <c r="B2173" s="17"/>
    </row>
    <row r="2174" spans="2:2">
      <c r="B2174" s="17"/>
    </row>
    <row r="2175" spans="2:2">
      <c r="B2175" s="17"/>
    </row>
    <row r="2176" spans="2:2">
      <c r="B2176" s="17"/>
    </row>
    <row r="2177" spans="2:2">
      <c r="B2177" s="17"/>
    </row>
    <row r="2178" spans="2:2">
      <c r="B2178" s="17"/>
    </row>
    <row r="2179" spans="2:2">
      <c r="B2179" s="17"/>
    </row>
    <row r="2180" spans="2:2">
      <c r="B2180" s="17"/>
    </row>
    <row r="2181" spans="2:2">
      <c r="B2181" s="17"/>
    </row>
    <row r="2182" spans="2:2">
      <c r="B2182" s="17"/>
    </row>
    <row r="2183" spans="2:2">
      <c r="B2183" s="17"/>
    </row>
    <row r="2184" spans="2:2">
      <c r="B2184" s="17"/>
    </row>
    <row r="2185" spans="2:2">
      <c r="B2185" s="17"/>
    </row>
    <row r="2186" spans="2:2">
      <c r="B2186" s="17"/>
    </row>
    <row r="2187" spans="2:2">
      <c r="B2187" s="17"/>
    </row>
    <row r="2188" spans="2:2">
      <c r="B2188" s="17"/>
    </row>
    <row r="2189" spans="2:2">
      <c r="B2189" s="17"/>
    </row>
    <row r="2190" spans="2:2">
      <c r="B2190" s="17"/>
    </row>
    <row r="2191" spans="2:2">
      <c r="B2191" s="17"/>
    </row>
    <row r="2192" spans="2:2">
      <c r="B2192" s="17"/>
    </row>
    <row r="2193" spans="2:2">
      <c r="B2193" s="17"/>
    </row>
    <row r="2194" spans="2:2">
      <c r="B2194" s="17"/>
    </row>
    <row r="2195" spans="2:2">
      <c r="B2195" s="17"/>
    </row>
    <row r="2196" spans="2:2">
      <c r="B2196" s="17"/>
    </row>
    <row r="2197" spans="2:2">
      <c r="B2197" s="17"/>
    </row>
    <row r="2198" spans="2:2">
      <c r="B2198" s="17"/>
    </row>
    <row r="2199" spans="2:2">
      <c r="B2199" s="17"/>
    </row>
    <row r="2200" spans="2:2">
      <c r="B2200" s="17"/>
    </row>
    <row r="2201" spans="2:2">
      <c r="B2201" s="17"/>
    </row>
    <row r="2202" spans="2:2">
      <c r="B2202" s="17"/>
    </row>
    <row r="2203" spans="2:2">
      <c r="B2203" s="17"/>
    </row>
    <row r="2204" spans="2:2">
      <c r="B2204" s="17"/>
    </row>
    <row r="2205" spans="2:2">
      <c r="B2205" s="17"/>
    </row>
    <row r="2206" spans="2:2">
      <c r="B2206" s="17"/>
    </row>
    <row r="2207" spans="2:2">
      <c r="B2207" s="17"/>
    </row>
    <row r="2208" spans="2:2">
      <c r="B2208" s="17"/>
    </row>
    <row r="2209" spans="2:2">
      <c r="B2209" s="17"/>
    </row>
    <row r="2210" spans="2:2">
      <c r="B2210" s="17"/>
    </row>
    <row r="2211" spans="2:2">
      <c r="B2211" s="17"/>
    </row>
    <row r="2212" spans="2:2">
      <c r="B2212" s="17"/>
    </row>
    <row r="2213" spans="2:2">
      <c r="B2213" s="17"/>
    </row>
    <row r="2214" spans="2:2">
      <c r="B2214" s="17"/>
    </row>
    <row r="2215" spans="2:2">
      <c r="B2215" s="17"/>
    </row>
    <row r="2216" spans="2:2">
      <c r="B2216" s="17"/>
    </row>
    <row r="2217" spans="2:2">
      <c r="B2217" s="17"/>
    </row>
    <row r="2218" spans="2:2">
      <c r="B2218" s="17"/>
    </row>
    <row r="2219" spans="2:2">
      <c r="B2219" s="17"/>
    </row>
    <row r="2220" spans="2:2">
      <c r="B2220" s="17"/>
    </row>
    <row r="2221" spans="2:2">
      <c r="B2221" s="17"/>
    </row>
    <row r="2222" spans="2:2">
      <c r="B2222" s="17"/>
    </row>
    <row r="2223" spans="2:2">
      <c r="B2223" s="17"/>
    </row>
    <row r="2224" spans="2:2">
      <c r="B2224" s="17"/>
    </row>
    <row r="2225" spans="2:2">
      <c r="B2225" s="17"/>
    </row>
    <row r="2226" spans="2:2">
      <c r="B2226" s="17"/>
    </row>
    <row r="2227" spans="2:2">
      <c r="B2227" s="17"/>
    </row>
    <row r="2228" spans="2:2">
      <c r="B2228" s="17"/>
    </row>
    <row r="2229" spans="2:2">
      <c r="B2229" s="17"/>
    </row>
    <row r="2230" spans="2:2">
      <c r="B2230" s="17"/>
    </row>
    <row r="2231" spans="2:2">
      <c r="B2231" s="17"/>
    </row>
    <row r="2232" spans="2:2">
      <c r="B2232" s="17"/>
    </row>
    <row r="2233" spans="2:2">
      <c r="B2233" s="17"/>
    </row>
    <row r="2234" spans="2:2">
      <c r="B2234" s="17"/>
    </row>
    <row r="2235" spans="2:2">
      <c r="B2235" s="17"/>
    </row>
    <row r="2236" spans="2:2">
      <c r="B2236" s="17"/>
    </row>
    <row r="2237" spans="2:2">
      <c r="B2237" s="17"/>
    </row>
    <row r="2238" spans="2:2">
      <c r="B2238" s="17"/>
    </row>
    <row r="2239" spans="2:2">
      <c r="B2239" s="17"/>
    </row>
    <row r="2240" spans="2:2">
      <c r="B2240" s="17"/>
    </row>
    <row r="2241" spans="2:2">
      <c r="B2241" s="17"/>
    </row>
    <row r="2242" spans="2:2">
      <c r="B2242" s="17"/>
    </row>
    <row r="2243" spans="2:2">
      <c r="B2243" s="17"/>
    </row>
    <row r="2244" spans="2:2">
      <c r="B2244" s="17"/>
    </row>
    <row r="2245" spans="2:2">
      <c r="B2245" s="17"/>
    </row>
    <row r="2246" spans="2:2">
      <c r="B2246" s="17"/>
    </row>
    <row r="2247" spans="2:2">
      <c r="B2247" s="17"/>
    </row>
    <row r="2248" spans="2:2">
      <c r="B2248" s="17"/>
    </row>
    <row r="2249" spans="2:2">
      <c r="B2249" s="17"/>
    </row>
    <row r="2250" spans="2:2">
      <c r="B2250" s="17"/>
    </row>
    <row r="2251" spans="2:2">
      <c r="B2251" s="17"/>
    </row>
    <row r="2252" spans="2:2">
      <c r="B2252" s="17"/>
    </row>
    <row r="2253" spans="2:2">
      <c r="B2253" s="17"/>
    </row>
    <row r="2254" spans="2:2">
      <c r="B2254" s="17"/>
    </row>
    <row r="2255" spans="2:2">
      <c r="B2255" s="17"/>
    </row>
    <row r="2256" spans="2:2">
      <c r="B2256" s="17"/>
    </row>
    <row r="2257" spans="2:2">
      <c r="B2257" s="17"/>
    </row>
    <row r="2258" spans="2:2">
      <c r="B2258" s="17"/>
    </row>
    <row r="2259" spans="2:2">
      <c r="B2259" s="17"/>
    </row>
    <row r="2260" spans="2:2">
      <c r="B2260" s="17"/>
    </row>
    <row r="2261" spans="2:2">
      <c r="B2261" s="17"/>
    </row>
    <row r="2262" spans="2:2">
      <c r="B2262" s="17"/>
    </row>
    <row r="2263" spans="2:2">
      <c r="B2263" s="17"/>
    </row>
    <row r="2264" spans="2:2">
      <c r="B2264" s="17"/>
    </row>
    <row r="2265" spans="2:2">
      <c r="B2265" s="17"/>
    </row>
    <row r="2266" spans="2:2">
      <c r="B2266" s="17"/>
    </row>
    <row r="2267" spans="2:2">
      <c r="B2267" s="17"/>
    </row>
    <row r="2268" spans="2:2">
      <c r="B2268" s="17"/>
    </row>
    <row r="2269" spans="2:2">
      <c r="B2269" s="17"/>
    </row>
    <row r="2270" spans="2:2">
      <c r="B2270" s="17"/>
    </row>
    <row r="2271" spans="2:2">
      <c r="B2271" s="17"/>
    </row>
    <row r="2272" spans="2:2">
      <c r="B2272" s="17"/>
    </row>
    <row r="2273" spans="2:2">
      <c r="B2273" s="17"/>
    </row>
    <row r="2274" spans="2:2">
      <c r="B2274" s="17"/>
    </row>
    <row r="2275" spans="2:2">
      <c r="B2275" s="17"/>
    </row>
    <row r="2276" spans="2:2">
      <c r="B2276" s="17"/>
    </row>
    <row r="2277" spans="2:2">
      <c r="B2277" s="17"/>
    </row>
    <row r="2278" spans="2:2">
      <c r="B2278" s="17"/>
    </row>
    <row r="2279" spans="2:2">
      <c r="B2279" s="17"/>
    </row>
    <row r="2280" spans="2:2">
      <c r="B2280" s="17"/>
    </row>
    <row r="2281" spans="2:2">
      <c r="B2281" s="17"/>
    </row>
    <row r="2282" spans="2:2">
      <c r="B2282" s="17"/>
    </row>
    <row r="2283" spans="2:2">
      <c r="B2283" s="17"/>
    </row>
    <row r="2284" spans="2:2">
      <c r="B2284" s="17"/>
    </row>
    <row r="2285" spans="2:2">
      <c r="B2285" s="17"/>
    </row>
    <row r="2286" spans="2:2">
      <c r="B2286" s="17"/>
    </row>
    <row r="2287" spans="2:2">
      <c r="B2287" s="17"/>
    </row>
    <row r="2288" spans="2:2">
      <c r="B2288" s="17"/>
    </row>
    <row r="2289" spans="2:2">
      <c r="B2289" s="17"/>
    </row>
    <row r="2290" spans="2:2">
      <c r="B2290" s="17"/>
    </row>
    <row r="2291" spans="2:2">
      <c r="B2291" s="17"/>
    </row>
    <row r="2292" spans="2:2">
      <c r="B2292" s="17"/>
    </row>
    <row r="2293" spans="2:2">
      <c r="B2293" s="17"/>
    </row>
    <row r="2294" spans="2:2">
      <c r="B2294" s="17"/>
    </row>
    <row r="2295" spans="2:2">
      <c r="B2295" s="17"/>
    </row>
    <row r="2296" spans="2:2">
      <c r="B2296" s="17"/>
    </row>
    <row r="2297" spans="2:2">
      <c r="B2297" s="17"/>
    </row>
    <row r="2298" spans="2:2">
      <c r="B2298" s="17"/>
    </row>
    <row r="2299" spans="2:2">
      <c r="B2299" s="17"/>
    </row>
    <row r="2300" spans="2:2">
      <c r="B2300" s="17"/>
    </row>
    <row r="2301" spans="2:2">
      <c r="B2301" s="17"/>
    </row>
    <row r="2302" spans="2:2">
      <c r="B2302" s="17"/>
    </row>
    <row r="2303" spans="2:2">
      <c r="B2303" s="17"/>
    </row>
    <row r="2304" spans="2:2">
      <c r="B2304" s="17"/>
    </row>
    <row r="2305" spans="2:2">
      <c r="B2305" s="17"/>
    </row>
    <row r="2306" spans="2:2">
      <c r="B2306" s="17"/>
    </row>
    <row r="2307" spans="2:2">
      <c r="B2307" s="17"/>
    </row>
    <row r="2308" spans="2:2">
      <c r="B2308" s="17"/>
    </row>
    <row r="2309" spans="2:2">
      <c r="B2309" s="17"/>
    </row>
    <row r="2310" spans="2:2">
      <c r="B2310" s="17"/>
    </row>
    <row r="2311" spans="2:2">
      <c r="B2311" s="17"/>
    </row>
    <row r="2312" spans="2:2">
      <c r="B2312" s="17"/>
    </row>
    <row r="2313" spans="2:2">
      <c r="B2313" s="17"/>
    </row>
    <row r="2314" spans="2:2">
      <c r="B2314" s="17"/>
    </row>
    <row r="2315" spans="2:2">
      <c r="B2315" s="17"/>
    </row>
    <row r="2316" spans="2:2">
      <c r="B2316" s="17"/>
    </row>
    <row r="2317" spans="2:2">
      <c r="B2317" s="17"/>
    </row>
    <row r="2318" spans="2:2">
      <c r="B2318" s="17"/>
    </row>
    <row r="2319" spans="2:2">
      <c r="B2319" s="17"/>
    </row>
    <row r="2320" spans="2:2">
      <c r="B2320" s="17"/>
    </row>
    <row r="2321" spans="2:2">
      <c r="B2321" s="17"/>
    </row>
    <row r="2322" spans="2:2">
      <c r="B2322" s="17"/>
    </row>
    <row r="2323" spans="2:2">
      <c r="B2323" s="17"/>
    </row>
    <row r="2324" spans="2:2">
      <c r="B2324" s="17"/>
    </row>
    <row r="2325" spans="2:2">
      <c r="B2325" s="17"/>
    </row>
    <row r="2326" spans="2:2">
      <c r="B2326" s="17"/>
    </row>
    <row r="2327" spans="2:2">
      <c r="B2327" s="17"/>
    </row>
    <row r="2328" spans="2:2">
      <c r="B2328" s="17"/>
    </row>
    <row r="2329" spans="2:2">
      <c r="B2329" s="17"/>
    </row>
    <row r="2330" spans="2:2">
      <c r="B2330" s="17"/>
    </row>
    <row r="2331" spans="2:2">
      <c r="B2331" s="17"/>
    </row>
    <row r="2332" spans="2:2">
      <c r="B2332" s="17"/>
    </row>
    <row r="2333" spans="2:2">
      <c r="B2333" s="17"/>
    </row>
    <row r="2334" spans="2:2">
      <c r="B2334" s="17"/>
    </row>
    <row r="2335" spans="2:2">
      <c r="B2335" s="17"/>
    </row>
    <row r="2336" spans="2:2">
      <c r="B2336" s="17"/>
    </row>
    <row r="2337" spans="2:2">
      <c r="B2337" s="17"/>
    </row>
    <row r="2338" spans="2:2">
      <c r="B2338" s="17"/>
    </row>
    <row r="2339" spans="2:2">
      <c r="B2339" s="17"/>
    </row>
    <row r="2340" spans="2:2">
      <c r="B2340" s="17"/>
    </row>
    <row r="2341" spans="2:2">
      <c r="B2341" s="17"/>
    </row>
    <row r="2342" spans="2:2">
      <c r="B2342" s="17"/>
    </row>
    <row r="2343" spans="2:2">
      <c r="B2343" s="17"/>
    </row>
    <row r="2344" spans="2:2">
      <c r="B2344" s="17"/>
    </row>
    <row r="2345" spans="2:2">
      <c r="B2345" s="17"/>
    </row>
    <row r="2346" spans="2:2">
      <c r="B2346" s="17"/>
    </row>
    <row r="2347" spans="2:2">
      <c r="B2347" s="17"/>
    </row>
    <row r="2348" spans="2:2">
      <c r="B2348" s="17"/>
    </row>
    <row r="2349" spans="2:2">
      <c r="B2349" s="17"/>
    </row>
    <row r="2350" spans="2:2">
      <c r="B2350" s="17"/>
    </row>
    <row r="2351" spans="2:2">
      <c r="B2351" s="17"/>
    </row>
    <row r="2352" spans="2:2">
      <c r="B2352" s="17"/>
    </row>
    <row r="2353" spans="2:2">
      <c r="B2353" s="17"/>
    </row>
    <row r="2354" spans="2:2">
      <c r="B2354" s="17"/>
    </row>
    <row r="2355" spans="2:2">
      <c r="B2355" s="17"/>
    </row>
    <row r="2356" spans="2:2">
      <c r="B2356" s="17"/>
    </row>
    <row r="2357" spans="2:2">
      <c r="B2357" s="17"/>
    </row>
    <row r="2358" spans="2:2">
      <c r="B2358" s="17"/>
    </row>
    <row r="2359" spans="2:2">
      <c r="B2359" s="17"/>
    </row>
    <row r="2360" spans="2:2">
      <c r="B2360" s="17"/>
    </row>
    <row r="2361" spans="2:2">
      <c r="B2361" s="17"/>
    </row>
    <row r="2362" spans="2:2">
      <c r="B2362" s="17"/>
    </row>
    <row r="2363" spans="2:2">
      <c r="B2363" s="17"/>
    </row>
    <row r="2364" spans="2:2">
      <c r="B2364" s="17"/>
    </row>
    <row r="2365" spans="2:2">
      <c r="B2365" s="17"/>
    </row>
    <row r="2366" spans="2:2">
      <c r="B2366" s="17"/>
    </row>
    <row r="2367" spans="2:2">
      <c r="B2367" s="17"/>
    </row>
    <row r="2368" spans="2:2">
      <c r="B2368" s="17"/>
    </row>
    <row r="2369" spans="2:2">
      <c r="B2369" s="17"/>
    </row>
    <row r="2370" spans="2:2">
      <c r="B2370" s="17"/>
    </row>
    <row r="2371" spans="2:2">
      <c r="B2371" s="17"/>
    </row>
    <row r="2372" spans="2:2">
      <c r="B2372" s="17"/>
    </row>
    <row r="2373" spans="2:2">
      <c r="B2373" s="17"/>
    </row>
    <row r="2374" spans="2:2">
      <c r="B2374" s="17"/>
    </row>
    <row r="2375" spans="2:2">
      <c r="B2375" s="17"/>
    </row>
    <row r="2376" spans="2:2">
      <c r="B2376" s="17"/>
    </row>
    <row r="2377" spans="2:2">
      <c r="B2377" s="17"/>
    </row>
    <row r="2378" spans="2:2">
      <c r="B2378" s="17"/>
    </row>
    <row r="2379" spans="2:2">
      <c r="B2379" s="17"/>
    </row>
    <row r="2380" spans="2:2">
      <c r="B2380" s="17"/>
    </row>
    <row r="2381" spans="2:2">
      <c r="B2381" s="17"/>
    </row>
    <row r="2382" spans="2:2">
      <c r="B2382" s="17"/>
    </row>
    <row r="2383" spans="2:2">
      <c r="B2383" s="17"/>
    </row>
    <row r="2384" spans="2:2">
      <c r="B2384" s="17"/>
    </row>
    <row r="2385" spans="2:2">
      <c r="B2385" s="17"/>
    </row>
    <row r="2386" spans="2:2">
      <c r="B2386" s="17"/>
    </row>
    <row r="2387" spans="2:2">
      <c r="B2387" s="17"/>
    </row>
    <row r="2388" spans="2:2">
      <c r="B2388" s="17"/>
    </row>
    <row r="2389" spans="2:2">
      <c r="B2389" s="17"/>
    </row>
    <row r="2390" spans="2:2">
      <c r="B2390" s="17"/>
    </row>
    <row r="2391" spans="2:2">
      <c r="B2391" s="17"/>
    </row>
    <row r="2392" spans="2:2">
      <c r="B2392" s="17"/>
    </row>
    <row r="2393" spans="2:2">
      <c r="B2393" s="17"/>
    </row>
    <row r="2394" spans="2:2">
      <c r="B2394" s="17"/>
    </row>
    <row r="2395" spans="2:2">
      <c r="B2395" s="17"/>
    </row>
    <row r="2396" spans="2:2">
      <c r="B2396" s="17"/>
    </row>
    <row r="2397" spans="2:2">
      <c r="B2397" s="17"/>
    </row>
    <row r="2398" spans="2:2">
      <c r="B2398" s="17"/>
    </row>
    <row r="2399" spans="2:2">
      <c r="B2399" s="17"/>
    </row>
    <row r="2400" spans="2:2">
      <c r="B2400" s="17"/>
    </row>
    <row r="2401" spans="2:2">
      <c r="B2401" s="17"/>
    </row>
    <row r="2402" spans="2:2">
      <c r="B2402" s="17"/>
    </row>
    <row r="2403" spans="2:2">
      <c r="B2403" s="17"/>
    </row>
    <row r="2404" spans="2:2">
      <c r="B2404" s="17"/>
    </row>
    <row r="2405" spans="2:2">
      <c r="B2405" s="17"/>
    </row>
    <row r="2406" spans="2:2">
      <c r="B2406" s="17"/>
    </row>
    <row r="2407" spans="2:2">
      <c r="B2407" s="17"/>
    </row>
    <row r="2408" spans="2:2">
      <c r="B2408" s="17"/>
    </row>
    <row r="2409" spans="2:2">
      <c r="B2409" s="17"/>
    </row>
    <row r="2410" spans="2:2">
      <c r="B2410" s="17"/>
    </row>
    <row r="2411" spans="2:2">
      <c r="B2411" s="17"/>
    </row>
    <row r="2412" spans="2:2">
      <c r="B2412" s="17"/>
    </row>
    <row r="2413" spans="2:2">
      <c r="B2413" s="17"/>
    </row>
    <row r="2414" spans="2:2">
      <c r="B2414" s="17"/>
    </row>
    <row r="2415" spans="2:2">
      <c r="B2415" s="17"/>
    </row>
    <row r="2416" spans="2:2">
      <c r="B2416" s="17"/>
    </row>
    <row r="2417" spans="2:2">
      <c r="B2417" s="17"/>
    </row>
    <row r="2418" spans="2:2">
      <c r="B2418" s="17"/>
    </row>
    <row r="2419" spans="2:2">
      <c r="B2419" s="17"/>
    </row>
    <row r="2420" spans="2:2">
      <c r="B2420" s="17"/>
    </row>
    <row r="2421" spans="2:2">
      <c r="B2421" s="17"/>
    </row>
    <row r="2422" spans="2:2">
      <c r="B2422" s="17"/>
    </row>
    <row r="2423" spans="2:2">
      <c r="B2423" s="17"/>
    </row>
    <row r="2424" spans="2:2">
      <c r="B2424" s="17"/>
    </row>
    <row r="2425" spans="2:2">
      <c r="B2425" s="17"/>
    </row>
    <row r="2426" spans="2:2">
      <c r="B2426" s="17"/>
    </row>
    <row r="2427" spans="2:2">
      <c r="B2427" s="17"/>
    </row>
    <row r="2428" spans="2:2">
      <c r="B2428" s="17"/>
    </row>
    <row r="2429" spans="2:2">
      <c r="B2429" s="17"/>
    </row>
    <row r="2430" spans="2:2">
      <c r="B2430" s="17"/>
    </row>
    <row r="2431" spans="2:2">
      <c r="B2431" s="17"/>
    </row>
    <row r="2432" spans="2:2">
      <c r="B2432" s="17"/>
    </row>
    <row r="2433" spans="2:2">
      <c r="B2433" s="17"/>
    </row>
    <row r="2434" spans="2:2">
      <c r="B2434" s="17"/>
    </row>
    <row r="2435" spans="2:2">
      <c r="B2435" s="17"/>
    </row>
    <row r="2436" spans="2:2">
      <c r="B2436" s="17"/>
    </row>
    <row r="2437" spans="2:2">
      <c r="B2437" s="17"/>
    </row>
    <row r="2438" spans="2:2">
      <c r="B2438" s="17"/>
    </row>
    <row r="2439" spans="2:2">
      <c r="B2439" s="17"/>
    </row>
    <row r="2440" spans="2:2">
      <c r="B2440" s="17"/>
    </row>
    <row r="2441" spans="2:2">
      <c r="B2441" s="17"/>
    </row>
    <row r="2442" spans="2:2">
      <c r="B2442" s="17"/>
    </row>
    <row r="2443" spans="2:2">
      <c r="B2443" s="17"/>
    </row>
    <row r="2444" spans="2:2">
      <c r="B2444" s="17"/>
    </row>
    <row r="2445" spans="2:2">
      <c r="B2445" s="17"/>
    </row>
    <row r="2446" spans="2:2">
      <c r="B2446" s="17"/>
    </row>
    <row r="2447" spans="2:2">
      <c r="B2447" s="17"/>
    </row>
    <row r="2448" spans="2:2">
      <c r="B2448" s="17"/>
    </row>
    <row r="2449" spans="2:2">
      <c r="B2449" s="17"/>
    </row>
    <row r="2450" spans="2:2">
      <c r="B2450" s="17"/>
    </row>
    <row r="2451" spans="2:2">
      <c r="B2451" s="17"/>
    </row>
    <row r="2452" spans="2:2">
      <c r="B2452" s="17"/>
    </row>
    <row r="2453" spans="2:2">
      <c r="B2453" s="17"/>
    </row>
    <row r="2454" spans="2:2">
      <c r="B2454" s="17"/>
    </row>
    <row r="2455" spans="2:2">
      <c r="B2455" s="17"/>
    </row>
    <row r="2456" spans="2:2">
      <c r="B2456" s="17"/>
    </row>
    <row r="2457" spans="2:2">
      <c r="B2457" s="17"/>
    </row>
    <row r="2458" spans="2:2">
      <c r="B2458" s="17"/>
    </row>
    <row r="2459" spans="2:2">
      <c r="B2459" s="17"/>
    </row>
    <row r="2460" spans="2:2">
      <c r="B2460" s="17"/>
    </row>
    <row r="2461" spans="2:2">
      <c r="B2461" s="17"/>
    </row>
    <row r="2462" spans="2:2">
      <c r="B2462" s="17"/>
    </row>
    <row r="2463" spans="2:2">
      <c r="B2463" s="17"/>
    </row>
    <row r="2464" spans="2:2">
      <c r="B2464" s="17"/>
    </row>
    <row r="2465" spans="2:2">
      <c r="B2465" s="17"/>
    </row>
    <row r="2466" spans="2:2">
      <c r="B2466" s="17"/>
    </row>
    <row r="2467" spans="2:2">
      <c r="B2467" s="17"/>
    </row>
    <row r="2468" spans="2:2">
      <c r="B2468" s="17"/>
    </row>
    <row r="2469" spans="2:2">
      <c r="B2469" s="17"/>
    </row>
    <row r="2470" spans="2:2">
      <c r="B2470" s="17"/>
    </row>
    <row r="2471" spans="2:2">
      <c r="B2471" s="17"/>
    </row>
    <row r="2472" spans="2:2">
      <c r="B2472" s="17"/>
    </row>
    <row r="2473" spans="2:2">
      <c r="B2473" s="17"/>
    </row>
    <row r="2474" spans="2:2">
      <c r="B2474" s="17"/>
    </row>
    <row r="2475" spans="2:2">
      <c r="B2475" s="17"/>
    </row>
    <row r="2476" spans="2:2">
      <c r="B2476" s="17"/>
    </row>
    <row r="2477" spans="2:2">
      <c r="B2477" s="17"/>
    </row>
    <row r="2478" spans="2:2">
      <c r="B2478" s="17"/>
    </row>
    <row r="2479" spans="2:2">
      <c r="B2479" s="17"/>
    </row>
    <row r="2480" spans="2:2">
      <c r="B2480" s="17"/>
    </row>
    <row r="2481" spans="2:2">
      <c r="B2481" s="17"/>
    </row>
    <row r="2482" spans="2:2">
      <c r="B2482" s="17"/>
    </row>
    <row r="2483" spans="2:2">
      <c r="B2483" s="17"/>
    </row>
    <row r="2484" spans="2:2">
      <c r="B2484" s="17"/>
    </row>
    <row r="2485" spans="2:2">
      <c r="B2485" s="17"/>
    </row>
    <row r="2486" spans="2:2">
      <c r="B2486" s="17"/>
    </row>
    <row r="2487" spans="2:2">
      <c r="B2487" s="17"/>
    </row>
    <row r="2488" spans="2:2">
      <c r="B2488" s="17"/>
    </row>
    <row r="2489" spans="2:2">
      <c r="B2489" s="17"/>
    </row>
    <row r="2490" spans="2:2">
      <c r="B2490" s="17"/>
    </row>
    <row r="2491" spans="2:2">
      <c r="B2491" s="17"/>
    </row>
    <row r="2492" spans="2:2">
      <c r="B2492" s="17"/>
    </row>
    <row r="2493" spans="2:2">
      <c r="B2493" s="17"/>
    </row>
    <row r="2494" spans="2:2">
      <c r="B2494" s="17"/>
    </row>
    <row r="2495" spans="2:2">
      <c r="B2495" s="17"/>
    </row>
    <row r="2496" spans="2:2">
      <c r="B2496" s="17"/>
    </row>
    <row r="2497" spans="2:2">
      <c r="B2497" s="17"/>
    </row>
    <row r="2498" spans="2:2">
      <c r="B2498" s="17"/>
    </row>
    <row r="2499" spans="2:2">
      <c r="B2499" s="17"/>
    </row>
    <row r="2500" spans="2:2">
      <c r="B2500" s="17"/>
    </row>
    <row r="2501" spans="2:2">
      <c r="B2501" s="17"/>
    </row>
    <row r="2502" spans="2:2">
      <c r="B2502" s="17"/>
    </row>
    <row r="2503" spans="2:2">
      <c r="B2503" s="17"/>
    </row>
    <row r="2504" spans="2:2">
      <c r="B2504" s="17"/>
    </row>
    <row r="2505" spans="2:2">
      <c r="B2505" s="17"/>
    </row>
    <row r="2506" spans="2:2">
      <c r="B2506" s="17"/>
    </row>
    <row r="2507" spans="2:2">
      <c r="B2507" s="17"/>
    </row>
    <row r="2508" spans="2:2">
      <c r="B2508" s="17"/>
    </row>
    <row r="2509" spans="2:2">
      <c r="B2509" s="17"/>
    </row>
    <row r="2510" spans="2:2">
      <c r="B2510" s="17"/>
    </row>
    <row r="2511" spans="2:2">
      <c r="B2511" s="17"/>
    </row>
    <row r="2512" spans="2:2">
      <c r="B2512" s="17"/>
    </row>
    <row r="2513" spans="2:2">
      <c r="B2513" s="17"/>
    </row>
    <row r="2514" spans="2:2">
      <c r="B2514" s="17"/>
    </row>
    <row r="2515" spans="2:2">
      <c r="B2515" s="17"/>
    </row>
    <row r="2516" spans="2:2">
      <c r="B2516" s="17"/>
    </row>
    <row r="2517" spans="2:2">
      <c r="B2517" s="17"/>
    </row>
    <row r="2518" spans="2:2">
      <c r="B2518" s="17"/>
    </row>
    <row r="2519" spans="2:2">
      <c r="B2519" s="17"/>
    </row>
    <row r="2520" spans="2:2">
      <c r="B2520" s="17"/>
    </row>
    <row r="2521" spans="2:2">
      <c r="B2521" s="17"/>
    </row>
    <row r="2522" spans="2:2">
      <c r="B2522" s="17"/>
    </row>
    <row r="2523" spans="2:2">
      <c r="B2523" s="17"/>
    </row>
    <row r="2524" spans="2:2">
      <c r="B2524" s="17"/>
    </row>
    <row r="2525" spans="2:2">
      <c r="B2525" s="17"/>
    </row>
    <row r="2526" spans="2:2">
      <c r="B2526" s="17"/>
    </row>
    <row r="2527" spans="2:2">
      <c r="B2527" s="17"/>
    </row>
    <row r="2528" spans="2:2">
      <c r="B2528" s="17"/>
    </row>
    <row r="2529" spans="2:2">
      <c r="B2529" s="17"/>
    </row>
    <row r="2530" spans="2:2">
      <c r="B2530" s="17"/>
    </row>
    <row r="2531" spans="2:2">
      <c r="B2531" s="17"/>
    </row>
    <row r="2532" spans="2:2">
      <c r="B2532" s="17"/>
    </row>
    <row r="2533" spans="2:2">
      <c r="B2533" s="17"/>
    </row>
    <row r="2534" spans="2:2">
      <c r="B2534" s="17"/>
    </row>
    <row r="2535" spans="2:2">
      <c r="B2535" s="17"/>
    </row>
    <row r="2536" spans="2:2">
      <c r="B2536" s="17"/>
    </row>
    <row r="2537" spans="2:2">
      <c r="B2537" s="17"/>
    </row>
    <row r="2538" spans="2:2">
      <c r="B2538" s="17"/>
    </row>
    <row r="2539" spans="2:2">
      <c r="B2539" s="17"/>
    </row>
    <row r="2540" spans="2:2">
      <c r="B2540" s="17"/>
    </row>
    <row r="2541" spans="2:2">
      <c r="B2541" s="17"/>
    </row>
    <row r="2542" spans="2:2">
      <c r="B2542" s="17"/>
    </row>
    <row r="2543" spans="2:2">
      <c r="B2543" s="17"/>
    </row>
    <row r="2544" spans="2:2">
      <c r="B2544" s="17"/>
    </row>
    <row r="2545" spans="2:2">
      <c r="B2545" s="17"/>
    </row>
    <row r="2546" spans="2:2">
      <c r="B2546" s="17"/>
    </row>
    <row r="2547" spans="2:2">
      <c r="B2547" s="17"/>
    </row>
    <row r="2548" spans="2:2">
      <c r="B2548" s="17"/>
    </row>
    <row r="2549" spans="2:2">
      <c r="B2549" s="17"/>
    </row>
    <row r="2550" spans="2:2">
      <c r="B2550" s="17"/>
    </row>
    <row r="2551" spans="2:2">
      <c r="B2551" s="17"/>
    </row>
    <row r="2552" spans="2:2">
      <c r="B2552" s="17"/>
    </row>
    <row r="2553" spans="2:2">
      <c r="B2553" s="17"/>
    </row>
    <row r="2554" spans="2:2">
      <c r="B2554" s="17"/>
    </row>
    <row r="2555" spans="2:2">
      <c r="B2555" s="17"/>
    </row>
    <row r="2556" spans="2:2">
      <c r="B2556" s="17"/>
    </row>
    <row r="2557" spans="2:2">
      <c r="B2557" s="17"/>
    </row>
    <row r="2558" spans="2:2">
      <c r="B2558" s="17"/>
    </row>
    <row r="2559" spans="2:2">
      <c r="B2559" s="17"/>
    </row>
    <row r="2560" spans="2:2">
      <c r="B2560" s="17"/>
    </row>
    <row r="2561" spans="2:2">
      <c r="B2561" s="17"/>
    </row>
    <row r="2562" spans="2:2">
      <c r="B2562" s="17"/>
    </row>
    <row r="2563" spans="2:2">
      <c r="B2563" s="17"/>
    </row>
    <row r="2564" spans="2:2">
      <c r="B2564" s="17"/>
    </row>
    <row r="2565" spans="2:2">
      <c r="B2565" s="17"/>
    </row>
    <row r="2566" spans="2:2">
      <c r="B2566" s="17"/>
    </row>
    <row r="2567" spans="2:2">
      <c r="B2567" s="17"/>
    </row>
    <row r="2568" spans="2:2">
      <c r="B2568" s="17"/>
    </row>
    <row r="2569" spans="2:2">
      <c r="B2569" s="17"/>
    </row>
    <row r="2570" spans="2:2">
      <c r="B2570" s="17"/>
    </row>
    <row r="2571" spans="2:2">
      <c r="B2571" s="17"/>
    </row>
    <row r="2572" spans="2:2">
      <c r="B2572" s="17"/>
    </row>
    <row r="2573" spans="2:2">
      <c r="B2573" s="17"/>
    </row>
    <row r="2574" spans="2:2">
      <c r="B2574" s="17"/>
    </row>
    <row r="2575" spans="2:2">
      <c r="B2575" s="17"/>
    </row>
    <row r="2576" spans="2:2">
      <c r="B2576" s="17"/>
    </row>
    <row r="2577" spans="2:2">
      <c r="B2577" s="17"/>
    </row>
    <row r="2578" spans="2:2">
      <c r="B2578" s="17"/>
    </row>
    <row r="2579" spans="2:2">
      <c r="B2579" s="17"/>
    </row>
    <row r="2580" spans="2:2">
      <c r="B2580" s="17"/>
    </row>
    <row r="2581" spans="2:2">
      <c r="B2581" s="17"/>
    </row>
    <row r="2582" spans="2:2">
      <c r="B2582" s="17"/>
    </row>
    <row r="2583" spans="2:2">
      <c r="B2583" s="17"/>
    </row>
    <row r="2584" spans="2:2">
      <c r="B2584" s="17"/>
    </row>
    <row r="2585" spans="2:2">
      <c r="B2585" s="17"/>
    </row>
    <row r="2586" spans="2:2">
      <c r="B2586" s="17"/>
    </row>
    <row r="2587" spans="2:2">
      <c r="B2587" s="17"/>
    </row>
    <row r="2588" spans="2:2">
      <c r="B2588" s="17"/>
    </row>
    <row r="2589" spans="2:2">
      <c r="B2589" s="17"/>
    </row>
    <row r="2590" spans="2:2">
      <c r="B2590" s="17"/>
    </row>
    <row r="2591" spans="2:2">
      <c r="B2591" s="17"/>
    </row>
    <row r="2592" spans="2:2">
      <c r="B2592" s="17"/>
    </row>
    <row r="2593" spans="2:2">
      <c r="B2593" s="17"/>
    </row>
    <row r="2594" spans="2:2">
      <c r="B2594" s="17"/>
    </row>
    <row r="2595" spans="2:2">
      <c r="B2595" s="17"/>
    </row>
    <row r="2596" spans="2:2">
      <c r="B2596" s="17"/>
    </row>
    <row r="2597" spans="2:2">
      <c r="B2597" s="17"/>
    </row>
    <row r="2598" spans="2:2">
      <c r="B2598" s="17"/>
    </row>
    <row r="2599" spans="2:2">
      <c r="B2599" s="17"/>
    </row>
    <row r="2600" spans="2:2">
      <c r="B2600" s="17"/>
    </row>
    <row r="2601" spans="2:2">
      <c r="B2601" s="17"/>
    </row>
    <row r="2602" spans="2:2">
      <c r="B2602" s="17"/>
    </row>
    <row r="2603" spans="2:2">
      <c r="B2603" s="17"/>
    </row>
    <row r="2604" spans="2:2">
      <c r="B2604" s="17"/>
    </row>
    <row r="2605" spans="2:2">
      <c r="B2605" s="17"/>
    </row>
    <row r="2606" spans="2:2">
      <c r="B2606" s="17"/>
    </row>
    <row r="2607" spans="2:2">
      <c r="B2607" s="17"/>
    </row>
    <row r="2608" spans="2:2">
      <c r="B2608" s="17"/>
    </row>
    <row r="2609" spans="2:2">
      <c r="B2609" s="17"/>
    </row>
    <row r="2610" spans="2:2">
      <c r="B2610" s="17"/>
    </row>
    <row r="2611" spans="2:2">
      <c r="B2611" s="17"/>
    </row>
    <row r="2612" spans="2:2">
      <c r="B2612" s="17"/>
    </row>
    <row r="2613" spans="2:2">
      <c r="B2613" s="17"/>
    </row>
    <row r="2614" spans="2:2">
      <c r="B2614" s="17"/>
    </row>
    <row r="2615" spans="2:2">
      <c r="B2615" s="17"/>
    </row>
    <row r="2616" spans="2:2">
      <c r="B2616" s="17"/>
    </row>
    <row r="2617" spans="2:2">
      <c r="B2617" s="17"/>
    </row>
    <row r="2618" spans="2:2">
      <c r="B2618" s="17"/>
    </row>
    <row r="2619" spans="2:2">
      <c r="B2619" s="17"/>
    </row>
    <row r="2620" spans="2:2">
      <c r="B2620" s="17"/>
    </row>
    <row r="2621" spans="2:2">
      <c r="B2621" s="17"/>
    </row>
    <row r="2622" spans="2:2">
      <c r="B2622" s="17"/>
    </row>
    <row r="2623" spans="2:2">
      <c r="B2623" s="17"/>
    </row>
    <row r="2624" spans="2:2">
      <c r="B2624" s="17"/>
    </row>
    <row r="2625" spans="2:2">
      <c r="B2625" s="17"/>
    </row>
    <row r="2626" spans="2:2">
      <c r="B2626" s="17"/>
    </row>
    <row r="2627" spans="2:2">
      <c r="B2627" s="17"/>
    </row>
    <row r="2628" spans="2:2">
      <c r="B2628" s="17"/>
    </row>
    <row r="2629" spans="2:2">
      <c r="B2629" s="17"/>
    </row>
    <row r="2630" spans="2:2">
      <c r="B2630" s="17"/>
    </row>
    <row r="2631" spans="2:2">
      <c r="B2631" s="17"/>
    </row>
    <row r="2632" spans="2:2">
      <c r="B2632" s="17"/>
    </row>
    <row r="2633" spans="2:2">
      <c r="B2633" s="17"/>
    </row>
    <row r="2634" spans="2:2">
      <c r="B2634" s="17"/>
    </row>
    <row r="2635" spans="2:2">
      <c r="B2635" s="17"/>
    </row>
    <row r="2636" spans="2:2">
      <c r="B2636" s="17"/>
    </row>
    <row r="2637" spans="2:2">
      <c r="B2637" s="17"/>
    </row>
    <row r="2638" spans="2:2">
      <c r="B2638" s="17"/>
    </row>
    <row r="2639" spans="2:2">
      <c r="B2639" s="17"/>
    </row>
    <row r="2640" spans="2:2">
      <c r="B2640" s="17"/>
    </row>
    <row r="2641" spans="2:2">
      <c r="B2641" s="17"/>
    </row>
    <row r="2642" spans="2:2">
      <c r="B2642" s="17"/>
    </row>
    <row r="2643" spans="2:2">
      <c r="B2643" s="17"/>
    </row>
    <row r="2644" spans="2:2">
      <c r="B2644" s="17"/>
    </row>
    <row r="2645" spans="2:2">
      <c r="B2645" s="17"/>
    </row>
    <row r="2646" spans="2:2">
      <c r="B2646" s="17"/>
    </row>
    <row r="2647" spans="2:2">
      <c r="B2647" s="17"/>
    </row>
    <row r="2648" spans="2:2">
      <c r="B2648" s="17"/>
    </row>
    <row r="2649" spans="2:2">
      <c r="B2649" s="17"/>
    </row>
    <row r="2650" spans="2:2">
      <c r="B2650" s="17"/>
    </row>
    <row r="2651" spans="2:2">
      <c r="B2651" s="17"/>
    </row>
    <row r="2652" spans="2:2">
      <c r="B2652" s="17"/>
    </row>
    <row r="2653" spans="2:2">
      <c r="B2653" s="17"/>
    </row>
    <row r="2654" spans="2:2">
      <c r="B2654" s="17"/>
    </row>
    <row r="2655" spans="2:2">
      <c r="B2655" s="17"/>
    </row>
    <row r="2656" spans="2:2">
      <c r="B2656" s="17"/>
    </row>
    <row r="2657" spans="2:2">
      <c r="B2657" s="17"/>
    </row>
    <row r="2658" spans="2:2">
      <c r="B2658" s="17"/>
    </row>
    <row r="2659" spans="2:2">
      <c r="B2659" s="17"/>
    </row>
    <row r="2660" spans="2:2">
      <c r="B2660" s="17"/>
    </row>
    <row r="2661" spans="2:2">
      <c r="B2661" s="17"/>
    </row>
    <row r="2662" spans="2:2">
      <c r="B2662" s="17"/>
    </row>
    <row r="2663" spans="2:2">
      <c r="B2663" s="17"/>
    </row>
    <row r="2664" spans="2:2">
      <c r="B2664" s="17"/>
    </row>
    <row r="2665" spans="2:2">
      <c r="B2665" s="17"/>
    </row>
    <row r="2666" spans="2:2">
      <c r="B2666" s="17"/>
    </row>
    <row r="2667" spans="2:2">
      <c r="B2667" s="17"/>
    </row>
    <row r="2668" spans="2:2">
      <c r="B2668" s="17"/>
    </row>
    <row r="2669" spans="2:2">
      <c r="B2669" s="17"/>
    </row>
    <row r="2670" spans="2:2">
      <c r="B2670" s="17"/>
    </row>
    <row r="2671" spans="2:2">
      <c r="B2671" s="17"/>
    </row>
    <row r="2672" spans="2:2">
      <c r="B2672" s="17"/>
    </row>
    <row r="2673" spans="2:2">
      <c r="B2673" s="17"/>
    </row>
    <row r="2674" spans="2:2">
      <c r="B2674" s="17"/>
    </row>
    <row r="2675" spans="2:2">
      <c r="B2675" s="17"/>
    </row>
    <row r="2676" spans="2:2">
      <c r="B2676" s="17"/>
    </row>
    <row r="2677" spans="2:2">
      <c r="B2677" s="17"/>
    </row>
    <row r="2678" spans="2:2">
      <c r="B2678" s="17"/>
    </row>
    <row r="2679" spans="2:2">
      <c r="B2679" s="17"/>
    </row>
    <row r="2680" spans="2:2">
      <c r="B2680" s="17"/>
    </row>
    <row r="2681" spans="2:2">
      <c r="B2681" s="17"/>
    </row>
    <row r="2682" spans="2:2">
      <c r="B2682" s="17"/>
    </row>
    <row r="2683" spans="2:2">
      <c r="B2683" s="17"/>
    </row>
    <row r="2684" spans="2:2">
      <c r="B2684" s="17"/>
    </row>
    <row r="2685" spans="2:2">
      <c r="B2685" s="17"/>
    </row>
    <row r="2686" spans="2:2">
      <c r="B2686" s="17"/>
    </row>
    <row r="2687" spans="2:2">
      <c r="B2687" s="17"/>
    </row>
    <row r="2688" spans="2:2">
      <c r="B2688" s="17"/>
    </row>
    <row r="2689" spans="2:2">
      <c r="B2689" s="17"/>
    </row>
    <row r="2690" spans="2:2">
      <c r="B2690" s="17"/>
    </row>
    <row r="2691" spans="2:2">
      <c r="B2691" s="17"/>
    </row>
    <row r="2692" spans="2:2">
      <c r="B2692" s="17"/>
    </row>
    <row r="2693" spans="2:2">
      <c r="B2693" s="17"/>
    </row>
    <row r="2694" spans="2:2">
      <c r="B2694" s="17"/>
    </row>
    <row r="2695" spans="2:2">
      <c r="B2695" s="17"/>
    </row>
    <row r="2696" spans="2:2">
      <c r="B2696" s="17"/>
    </row>
    <row r="2697" spans="2:2">
      <c r="B2697" s="17"/>
    </row>
    <row r="2698" spans="2:2">
      <c r="B2698" s="17"/>
    </row>
    <row r="2699" spans="2:2">
      <c r="B2699" s="17"/>
    </row>
    <row r="2700" spans="2:2">
      <c r="B2700" s="17"/>
    </row>
    <row r="2701" spans="2:2">
      <c r="B2701" s="17"/>
    </row>
    <row r="2702" spans="2:2">
      <c r="B2702" s="17"/>
    </row>
    <row r="2703" spans="2:2">
      <c r="B2703" s="17"/>
    </row>
    <row r="2704" spans="2:2">
      <c r="B2704" s="17"/>
    </row>
    <row r="2705" spans="2:2">
      <c r="B2705" s="17"/>
    </row>
    <row r="2706" spans="2:2">
      <c r="B2706" s="17"/>
    </row>
    <row r="2707" spans="2:2">
      <c r="B2707" s="17"/>
    </row>
    <row r="2708" spans="2:2">
      <c r="B2708" s="17"/>
    </row>
    <row r="2709" spans="2:2">
      <c r="B2709" s="17"/>
    </row>
    <row r="2710" spans="2:2">
      <c r="B2710" s="17"/>
    </row>
    <row r="2711" spans="2:2">
      <c r="B2711" s="17"/>
    </row>
    <row r="2712" spans="2:2">
      <c r="B2712" s="17"/>
    </row>
    <row r="2713" spans="2:2">
      <c r="B2713" s="17"/>
    </row>
    <row r="2714" spans="2:2">
      <c r="B2714" s="17"/>
    </row>
    <row r="2715" spans="2:2">
      <c r="B2715" s="17"/>
    </row>
    <row r="2716" spans="2:2">
      <c r="B2716" s="17"/>
    </row>
    <row r="2717" spans="2:2">
      <c r="B2717" s="17"/>
    </row>
    <row r="2718" spans="2:2">
      <c r="B2718" s="17"/>
    </row>
    <row r="2719" spans="2:2">
      <c r="B2719" s="17"/>
    </row>
    <row r="2720" spans="2:2">
      <c r="B2720" s="17"/>
    </row>
    <row r="2721" spans="2:2">
      <c r="B2721" s="17"/>
    </row>
    <row r="2722" spans="2:2">
      <c r="B2722" s="17"/>
    </row>
    <row r="2723" spans="2:2">
      <c r="B2723" s="17"/>
    </row>
    <row r="2724" spans="2:2">
      <c r="B2724" s="17"/>
    </row>
    <row r="2725" spans="2:2">
      <c r="B2725" s="17"/>
    </row>
    <row r="2726" spans="2:2">
      <c r="B2726" s="17"/>
    </row>
    <row r="2727" spans="2:2">
      <c r="B2727" s="17"/>
    </row>
    <row r="2728" spans="2:2">
      <c r="B2728" s="17"/>
    </row>
    <row r="2729" spans="2:2">
      <c r="B2729" s="17"/>
    </row>
    <row r="2730" spans="2:2">
      <c r="B2730" s="17"/>
    </row>
    <row r="2731" spans="2:2">
      <c r="B2731" s="17"/>
    </row>
    <row r="2732" spans="2:2">
      <c r="B2732" s="17"/>
    </row>
    <row r="2733" spans="2:2">
      <c r="B2733" s="17"/>
    </row>
    <row r="2734" spans="2:2">
      <c r="B2734" s="17"/>
    </row>
    <row r="2735" spans="2:2">
      <c r="B2735" s="17"/>
    </row>
    <row r="2736" spans="2:2">
      <c r="B2736" s="17"/>
    </row>
    <row r="2737" spans="2:2">
      <c r="B2737" s="17"/>
    </row>
    <row r="2738" spans="2:2">
      <c r="B2738" s="17"/>
    </row>
    <row r="2739" spans="2:2">
      <c r="B2739" s="17"/>
    </row>
    <row r="2740" spans="2:2">
      <c r="B2740" s="17"/>
    </row>
    <row r="2741" spans="2:2">
      <c r="B2741" s="17"/>
    </row>
    <row r="2742" spans="2:2">
      <c r="B2742" s="17"/>
    </row>
    <row r="2743" spans="2:2">
      <c r="B2743" s="17"/>
    </row>
    <row r="2744" spans="2:2">
      <c r="B2744" s="17"/>
    </row>
    <row r="2745" spans="2:2">
      <c r="B2745" s="17"/>
    </row>
    <row r="2746" spans="2:2">
      <c r="B2746" s="17"/>
    </row>
    <row r="2747" spans="2:2">
      <c r="B2747" s="17"/>
    </row>
    <row r="2748" spans="2:2">
      <c r="B2748" s="17"/>
    </row>
    <row r="2749" spans="2:2">
      <c r="B2749" s="17"/>
    </row>
    <row r="2750" spans="2:2">
      <c r="B2750" s="17"/>
    </row>
    <row r="2751" spans="2:2">
      <c r="B2751" s="17"/>
    </row>
    <row r="2752" spans="2:2">
      <c r="B2752" s="17"/>
    </row>
    <row r="2753" spans="2:2">
      <c r="B2753" s="17"/>
    </row>
    <row r="2754" spans="2:2">
      <c r="B2754" s="17"/>
    </row>
    <row r="2755" spans="2:2">
      <c r="B2755" s="17"/>
    </row>
    <row r="2756" spans="2:2">
      <c r="B2756" s="17"/>
    </row>
    <row r="2757" spans="2:2">
      <c r="B2757" s="17"/>
    </row>
    <row r="2758" spans="2:2">
      <c r="B2758" s="17"/>
    </row>
    <row r="2759" spans="2:2">
      <c r="B2759" s="17"/>
    </row>
    <row r="2760" spans="2:2">
      <c r="B2760" s="17"/>
    </row>
    <row r="2761" spans="2:2">
      <c r="B2761" s="17"/>
    </row>
    <row r="2762" spans="2:2">
      <c r="B2762" s="17"/>
    </row>
    <row r="2763" spans="2:2">
      <c r="B2763" s="17"/>
    </row>
    <row r="2764" spans="2:2">
      <c r="B2764" s="17"/>
    </row>
    <row r="2765" spans="2:2">
      <c r="B2765" s="17"/>
    </row>
    <row r="2766" spans="2:2">
      <c r="B2766" s="17"/>
    </row>
    <row r="2767" spans="2:2">
      <c r="B2767" s="17"/>
    </row>
    <row r="2768" spans="2:2">
      <c r="B2768" s="17"/>
    </row>
    <row r="2769" spans="2:2">
      <c r="B2769" s="17"/>
    </row>
    <row r="2770" spans="2:2">
      <c r="B2770" s="17"/>
    </row>
    <row r="2771" spans="2:2">
      <c r="B2771" s="17"/>
    </row>
    <row r="2772" spans="2:2">
      <c r="B2772" s="17"/>
    </row>
    <row r="2773" spans="2:2">
      <c r="B2773" s="17"/>
    </row>
    <row r="2774" spans="2:2">
      <c r="B2774" s="17"/>
    </row>
    <row r="2775" spans="2:2">
      <c r="B2775" s="17"/>
    </row>
    <row r="2776" spans="2:2">
      <c r="B2776" s="17"/>
    </row>
    <row r="2777" spans="2:2">
      <c r="B2777" s="17"/>
    </row>
    <row r="2778" spans="2:2">
      <c r="B2778" s="17"/>
    </row>
    <row r="2779" spans="2:2">
      <c r="B2779" s="17"/>
    </row>
    <row r="2780" spans="2:2">
      <c r="B2780" s="17"/>
    </row>
    <row r="2781" spans="2:2">
      <c r="B2781" s="17"/>
    </row>
    <row r="2782" spans="2:2">
      <c r="B2782" s="17"/>
    </row>
    <row r="2783" spans="2:2">
      <c r="B2783" s="17"/>
    </row>
    <row r="2784" spans="2:2">
      <c r="B2784" s="17"/>
    </row>
    <row r="2785" spans="2:2">
      <c r="B2785" s="17"/>
    </row>
    <row r="2786" spans="2:2">
      <c r="B2786" s="17"/>
    </row>
    <row r="2787" spans="2:2">
      <c r="B2787" s="17"/>
    </row>
    <row r="2788" spans="2:2">
      <c r="B2788" s="17"/>
    </row>
    <row r="2789" spans="2:2">
      <c r="B2789" s="17"/>
    </row>
    <row r="2790" spans="2:2">
      <c r="B2790" s="17"/>
    </row>
    <row r="2791" spans="2:2">
      <c r="B2791" s="17"/>
    </row>
    <row r="2792" spans="2:2">
      <c r="B2792" s="17"/>
    </row>
    <row r="2793" spans="2:2">
      <c r="B2793" s="17"/>
    </row>
    <row r="2794" spans="2:2">
      <c r="B2794" s="17"/>
    </row>
    <row r="2795" spans="2:2">
      <c r="B2795" s="17"/>
    </row>
    <row r="2796" spans="2:2">
      <c r="B2796" s="17"/>
    </row>
    <row r="2797" spans="2:2">
      <c r="B2797" s="17"/>
    </row>
    <row r="2798" spans="2:2">
      <c r="B2798" s="17"/>
    </row>
    <row r="2799" spans="2:2">
      <c r="B2799" s="17"/>
    </row>
    <row r="2800" spans="2:2">
      <c r="B2800" s="17"/>
    </row>
    <row r="2801" spans="2:2">
      <c r="B2801" s="17"/>
    </row>
    <row r="2802" spans="2:2">
      <c r="B2802" s="17"/>
    </row>
    <row r="2803" spans="2:2">
      <c r="B2803" s="17"/>
    </row>
    <row r="2804" spans="2:2">
      <c r="B2804" s="17"/>
    </row>
    <row r="2805" spans="2:2">
      <c r="B2805" s="17"/>
    </row>
    <row r="2806" spans="2:2">
      <c r="B2806" s="17"/>
    </row>
    <row r="2807" spans="2:2">
      <c r="B2807" s="17"/>
    </row>
    <row r="2808" spans="2:2">
      <c r="B2808" s="17"/>
    </row>
    <row r="2809" spans="2:2">
      <c r="B2809" s="17"/>
    </row>
    <row r="2810" spans="2:2">
      <c r="B2810" s="17"/>
    </row>
    <row r="2811" spans="2:2">
      <c r="B2811" s="17"/>
    </row>
    <row r="2812" spans="2:2">
      <c r="B2812" s="17"/>
    </row>
    <row r="2813" spans="2:2">
      <c r="B2813" s="17"/>
    </row>
    <row r="2814" spans="2:2">
      <c r="B2814" s="17"/>
    </row>
    <row r="2815" spans="2:2">
      <c r="B2815" s="17"/>
    </row>
    <row r="2816" spans="2:2">
      <c r="B2816" s="17"/>
    </row>
    <row r="2817" spans="2:2">
      <c r="B2817" s="17"/>
    </row>
    <row r="2818" spans="2:2">
      <c r="B2818" s="17"/>
    </row>
    <row r="2819" spans="2:2">
      <c r="B2819" s="17"/>
    </row>
    <row r="2820" spans="2:2">
      <c r="B2820" s="17"/>
    </row>
    <row r="2821" spans="2:2">
      <c r="B2821" s="17"/>
    </row>
    <row r="2822" spans="2:2">
      <c r="B2822" s="17"/>
    </row>
    <row r="2823" spans="2:2">
      <c r="B2823" s="17"/>
    </row>
    <row r="2824" spans="2:2">
      <c r="B2824" s="17"/>
    </row>
    <row r="2825" spans="2:2">
      <c r="B2825" s="17"/>
    </row>
    <row r="2826" spans="2:2">
      <c r="B2826" s="17"/>
    </row>
    <row r="2827" spans="2:2">
      <c r="B2827" s="17"/>
    </row>
    <row r="2828" spans="2:2">
      <c r="B2828" s="17"/>
    </row>
    <row r="2829" spans="2:2">
      <c r="B2829" s="17"/>
    </row>
    <row r="2830" spans="2:2">
      <c r="B2830" s="17"/>
    </row>
    <row r="2831" spans="2:2">
      <c r="B2831" s="17"/>
    </row>
    <row r="2832" spans="2:2">
      <c r="B2832" s="17"/>
    </row>
    <row r="2833" spans="2:2">
      <c r="B2833" s="17"/>
    </row>
    <row r="2834" spans="2:2">
      <c r="B2834" s="17"/>
    </row>
    <row r="2835" spans="2:2">
      <c r="B2835" s="17"/>
    </row>
    <row r="2836" spans="2:2">
      <c r="B2836" s="17"/>
    </row>
    <row r="2837" spans="2:2">
      <c r="B2837" s="17"/>
    </row>
    <row r="2838" spans="2:2">
      <c r="B2838" s="17"/>
    </row>
    <row r="2839" spans="2:2">
      <c r="B2839" s="17"/>
    </row>
    <row r="2840" spans="2:2">
      <c r="B2840" s="17"/>
    </row>
    <row r="2841" spans="2:2">
      <c r="B2841" s="17"/>
    </row>
    <row r="2842" spans="2:2">
      <c r="B2842" s="17"/>
    </row>
    <row r="2843" spans="2:2">
      <c r="B2843" s="17"/>
    </row>
    <row r="2844" spans="2:2">
      <c r="B2844" s="17"/>
    </row>
    <row r="2845" spans="2:2">
      <c r="B2845" s="17"/>
    </row>
    <row r="2846" spans="2:2">
      <c r="B2846" s="17"/>
    </row>
    <row r="2847" spans="2:2">
      <c r="B2847" s="17"/>
    </row>
    <row r="2848" spans="2:2">
      <c r="B2848" s="17"/>
    </row>
    <row r="2849" spans="2:2">
      <c r="B2849" s="17"/>
    </row>
    <row r="2850" spans="2:2">
      <c r="B2850" s="17"/>
    </row>
    <row r="2851" spans="2:2">
      <c r="B2851" s="17"/>
    </row>
    <row r="2852" spans="2:2">
      <c r="B2852" s="17"/>
    </row>
    <row r="2853" spans="2:2">
      <c r="B2853" s="17"/>
    </row>
    <row r="2854" spans="2:2">
      <c r="B2854" s="17"/>
    </row>
    <row r="2855" spans="2:2">
      <c r="B2855" s="17"/>
    </row>
    <row r="2856" spans="2:2">
      <c r="B2856" s="17"/>
    </row>
    <row r="2857" spans="2:2">
      <c r="B2857" s="17"/>
    </row>
    <row r="2858" spans="2:2">
      <c r="B2858" s="17"/>
    </row>
    <row r="2859" spans="2:2">
      <c r="B2859" s="17"/>
    </row>
    <row r="2860" spans="2:2">
      <c r="B2860" s="17"/>
    </row>
    <row r="2861" spans="2:2">
      <c r="B2861" s="17"/>
    </row>
    <row r="2862" spans="2:2">
      <c r="B2862" s="17"/>
    </row>
    <row r="2863" spans="2:2">
      <c r="B2863" s="17"/>
    </row>
    <row r="2864" spans="2:2">
      <c r="B2864" s="17"/>
    </row>
    <row r="2865" spans="2:2">
      <c r="B2865" s="17"/>
    </row>
    <row r="2866" spans="2:2">
      <c r="B2866" s="17"/>
    </row>
    <row r="2867" spans="2:2">
      <c r="B2867" s="17"/>
    </row>
    <row r="2868" spans="2:2">
      <c r="B2868" s="17"/>
    </row>
    <row r="2869" spans="2:2">
      <c r="B2869" s="17"/>
    </row>
    <row r="2870" spans="2:2">
      <c r="B2870" s="17"/>
    </row>
    <row r="2871" spans="2:2">
      <c r="B2871" s="17"/>
    </row>
    <row r="2872" spans="2:2">
      <c r="B2872" s="17"/>
    </row>
    <row r="2873" spans="2:2">
      <c r="B2873" s="17"/>
    </row>
    <row r="2874" spans="2:2">
      <c r="B2874" s="17"/>
    </row>
    <row r="2875" spans="2:2">
      <c r="B2875" s="17"/>
    </row>
    <row r="2876" spans="2:2">
      <c r="B2876" s="17"/>
    </row>
    <row r="2877" spans="2:2">
      <c r="B2877" s="17"/>
    </row>
    <row r="2878" spans="2:2">
      <c r="B2878" s="17"/>
    </row>
    <row r="2879" spans="2:2">
      <c r="B2879" s="17"/>
    </row>
    <row r="2880" spans="2:2">
      <c r="B2880" s="17"/>
    </row>
    <row r="2881" spans="2:2">
      <c r="B2881" s="17"/>
    </row>
    <row r="2882" spans="2:2">
      <c r="B2882" s="17"/>
    </row>
    <row r="2883" spans="2:2">
      <c r="B2883" s="17"/>
    </row>
    <row r="2884" spans="2:2">
      <c r="B2884" s="17"/>
    </row>
    <row r="2885" spans="2:2">
      <c r="B2885" s="17"/>
    </row>
    <row r="2886" spans="2:2">
      <c r="B2886" s="17"/>
    </row>
    <row r="2887" spans="2:2">
      <c r="B2887" s="17"/>
    </row>
    <row r="2888" spans="2:2">
      <c r="B2888" s="17"/>
    </row>
    <row r="2889" spans="2:2">
      <c r="B2889" s="17"/>
    </row>
    <row r="2890" spans="2:2">
      <c r="B2890" s="17"/>
    </row>
    <row r="2891" spans="2:2">
      <c r="B2891" s="17"/>
    </row>
    <row r="2892" spans="2:2">
      <c r="B2892" s="17"/>
    </row>
    <row r="2893" spans="2:2">
      <c r="B2893" s="17"/>
    </row>
    <row r="2894" spans="2:2">
      <c r="B2894" s="17"/>
    </row>
    <row r="2895" spans="2:2">
      <c r="B2895" s="17"/>
    </row>
    <row r="2896" spans="2:2">
      <c r="B2896" s="17"/>
    </row>
    <row r="2897" spans="2:2">
      <c r="B2897" s="17"/>
    </row>
    <row r="2898" spans="2:2">
      <c r="B2898" s="17"/>
    </row>
    <row r="2899" spans="2:2">
      <c r="B2899" s="17"/>
    </row>
    <row r="2900" spans="2:2">
      <c r="B2900" s="17"/>
    </row>
    <row r="2901" spans="2:2">
      <c r="B2901" s="17"/>
    </row>
    <row r="2902" spans="2:2">
      <c r="B2902" s="17"/>
    </row>
    <row r="2903" spans="2:2">
      <c r="B2903" s="17"/>
    </row>
    <row r="2904" spans="2:2">
      <c r="B2904" s="17"/>
    </row>
    <row r="2905" spans="2:2">
      <c r="B2905" s="17"/>
    </row>
    <row r="2906" spans="2:2">
      <c r="B2906" s="17"/>
    </row>
    <row r="2907" spans="2:2">
      <c r="B2907" s="17"/>
    </row>
    <row r="2908" spans="2:2">
      <c r="B2908" s="17"/>
    </row>
    <row r="2909" spans="2:2">
      <c r="B2909" s="17"/>
    </row>
    <row r="2910" spans="2:2">
      <c r="B2910" s="17"/>
    </row>
    <row r="2911" spans="2:2">
      <c r="B2911" s="17"/>
    </row>
    <row r="2912" spans="2:2">
      <c r="B2912" s="17"/>
    </row>
    <row r="2913" spans="2:2">
      <c r="B2913" s="17"/>
    </row>
    <row r="2914" spans="2:2">
      <c r="B2914" s="17"/>
    </row>
    <row r="2915" spans="2:2">
      <c r="B2915" s="17"/>
    </row>
    <row r="2916" spans="2:2">
      <c r="B2916" s="17"/>
    </row>
    <row r="2917" spans="2:2">
      <c r="B2917" s="17"/>
    </row>
    <row r="2918" spans="2:2">
      <c r="B2918" s="17"/>
    </row>
    <row r="2919" spans="2:2">
      <c r="B2919" s="17"/>
    </row>
    <row r="2920" spans="2:2">
      <c r="B2920" s="17"/>
    </row>
    <row r="2921" spans="2:2">
      <c r="B2921" s="17"/>
    </row>
    <row r="2922" spans="2:2">
      <c r="B2922" s="17"/>
    </row>
    <row r="2923" spans="2:2">
      <c r="B2923" s="17"/>
    </row>
    <row r="2924" spans="2:2">
      <c r="B2924" s="17"/>
    </row>
    <row r="2925" spans="2:2">
      <c r="B2925" s="17"/>
    </row>
    <row r="2926" spans="2:2">
      <c r="B2926" s="17"/>
    </row>
    <row r="2927" spans="2:2">
      <c r="B2927" s="17"/>
    </row>
    <row r="2928" spans="2:2">
      <c r="B2928" s="17"/>
    </row>
    <row r="2929" spans="2:2">
      <c r="B2929" s="17"/>
    </row>
    <row r="2930" spans="2:2">
      <c r="B2930" s="17"/>
    </row>
    <row r="2931" spans="2:2">
      <c r="B2931" s="17"/>
    </row>
    <row r="2932" spans="2:2">
      <c r="B2932" s="17"/>
    </row>
    <row r="2933" spans="2:2">
      <c r="B2933" s="17"/>
    </row>
    <row r="2934" spans="2:2">
      <c r="B2934" s="17"/>
    </row>
    <row r="2935" spans="2:2">
      <c r="B2935" s="17"/>
    </row>
    <row r="2936" spans="2:2">
      <c r="B2936" s="17"/>
    </row>
    <row r="2937" spans="2:2">
      <c r="B2937" s="17"/>
    </row>
    <row r="2938" spans="2:2">
      <c r="B2938" s="17"/>
    </row>
    <row r="2939" spans="2:2">
      <c r="B2939" s="17"/>
    </row>
    <row r="2940" spans="2:2">
      <c r="B2940" s="17"/>
    </row>
    <row r="2941" spans="2:2">
      <c r="B2941" s="17"/>
    </row>
    <row r="2942" spans="2:2">
      <c r="B2942" s="17"/>
    </row>
    <row r="2943" spans="2:2">
      <c r="B2943" s="17"/>
    </row>
    <row r="2944" spans="2:2">
      <c r="B2944" s="17"/>
    </row>
    <row r="2945" spans="2:2">
      <c r="B2945" s="17"/>
    </row>
    <row r="2946" spans="2:2">
      <c r="B2946" s="17"/>
    </row>
    <row r="2947" spans="2:2">
      <c r="B2947" s="17"/>
    </row>
    <row r="2948" spans="2:2">
      <c r="B2948" s="17"/>
    </row>
    <row r="2949" spans="2:2">
      <c r="B2949" s="17"/>
    </row>
    <row r="2950" spans="2:2">
      <c r="B2950" s="17"/>
    </row>
    <row r="2951" spans="2:2">
      <c r="B2951" s="17"/>
    </row>
    <row r="2952" spans="2:2">
      <c r="B2952" s="17"/>
    </row>
    <row r="2953" spans="2:2">
      <c r="B2953" s="17"/>
    </row>
    <row r="2954" spans="2:2">
      <c r="B2954" s="17"/>
    </row>
    <row r="2955" spans="2:2">
      <c r="B2955" s="17"/>
    </row>
    <row r="2956" spans="2:2">
      <c r="B2956" s="17"/>
    </row>
    <row r="2957" spans="2:2">
      <c r="B2957" s="17"/>
    </row>
    <row r="2958" spans="2:2">
      <c r="B2958" s="17"/>
    </row>
    <row r="2959" spans="2:2">
      <c r="B2959" s="17"/>
    </row>
    <row r="2960" spans="2:2">
      <c r="B2960" s="17"/>
    </row>
    <row r="2961" spans="2:2">
      <c r="B2961" s="17"/>
    </row>
    <row r="2962" spans="2:2">
      <c r="B2962" s="17"/>
    </row>
    <row r="2963" spans="2:2">
      <c r="B2963" s="17"/>
    </row>
    <row r="2964" spans="2:2">
      <c r="B2964" s="17"/>
    </row>
    <row r="2965" spans="2:2">
      <c r="B2965" s="17"/>
    </row>
    <row r="2966" spans="2:2">
      <c r="B2966" s="17"/>
    </row>
    <row r="2967" spans="2:2">
      <c r="B2967" s="17"/>
    </row>
    <row r="2968" spans="2:2">
      <c r="B2968" s="17"/>
    </row>
    <row r="2969" spans="2:2">
      <c r="B2969" s="17"/>
    </row>
    <row r="2970" spans="2:2">
      <c r="B2970" s="17"/>
    </row>
    <row r="2971" spans="2:2">
      <c r="B2971" s="17"/>
    </row>
    <row r="2972" spans="2:2">
      <c r="B2972" s="17"/>
    </row>
    <row r="2973" spans="2:2">
      <c r="B2973" s="17"/>
    </row>
    <row r="2974" spans="2:2">
      <c r="B2974" s="17"/>
    </row>
    <row r="2975" spans="2:2">
      <c r="B2975" s="17"/>
    </row>
    <row r="2976" spans="2:2">
      <c r="B2976" s="17"/>
    </row>
    <row r="2977" spans="2:2">
      <c r="B2977" s="17"/>
    </row>
    <row r="2978" spans="2:2">
      <c r="B2978" s="17"/>
    </row>
    <row r="2979" spans="2:2">
      <c r="B2979" s="17"/>
    </row>
    <row r="2980" spans="2:2">
      <c r="B2980" s="17"/>
    </row>
    <row r="2981" spans="2:2">
      <c r="B2981" s="17"/>
    </row>
    <row r="2982" spans="2:2">
      <c r="B2982" s="17"/>
    </row>
    <row r="2983" spans="2:2">
      <c r="B2983" s="17"/>
    </row>
    <row r="2984" spans="2:2">
      <c r="B2984" s="17"/>
    </row>
    <row r="2985" spans="2:2">
      <c r="B2985" s="17"/>
    </row>
    <row r="2986" spans="2:2">
      <c r="B2986" s="17"/>
    </row>
    <row r="2987" spans="2:2">
      <c r="B2987" s="17"/>
    </row>
    <row r="2988" spans="2:2">
      <c r="B2988" s="17"/>
    </row>
    <row r="2989" spans="2:2">
      <c r="B2989" s="17"/>
    </row>
    <row r="2990" spans="2:2">
      <c r="B2990" s="17"/>
    </row>
    <row r="2991" spans="2:2">
      <c r="B2991" s="17"/>
    </row>
    <row r="2992" spans="2:2">
      <c r="B2992" s="17"/>
    </row>
    <row r="2993" spans="2:2">
      <c r="B2993" s="17"/>
    </row>
    <row r="2994" spans="2:2">
      <c r="B2994" s="17"/>
    </row>
    <row r="2995" spans="2:2">
      <c r="B2995" s="17"/>
    </row>
    <row r="2996" spans="2:2">
      <c r="B2996" s="17"/>
    </row>
    <row r="2997" spans="2:2">
      <c r="B2997" s="17"/>
    </row>
    <row r="2998" spans="2:2">
      <c r="B2998" s="17"/>
    </row>
    <row r="2999" spans="2:2">
      <c r="B2999" s="17"/>
    </row>
    <row r="3000" spans="2:2">
      <c r="B3000" s="17"/>
    </row>
    <row r="3001" spans="2:2">
      <c r="B3001" s="17"/>
    </row>
    <row r="3002" spans="2:2">
      <c r="B3002" s="17"/>
    </row>
    <row r="3003" spans="2:2">
      <c r="B3003" s="17"/>
    </row>
    <row r="3004" spans="2:2">
      <c r="B3004" s="17"/>
    </row>
    <row r="3005" spans="2:2">
      <c r="B3005" s="17"/>
    </row>
    <row r="3006" spans="2:2">
      <c r="B3006" s="17"/>
    </row>
    <row r="3007" spans="2:2">
      <c r="B3007" s="17"/>
    </row>
    <row r="3008" spans="2:2">
      <c r="B3008" s="17"/>
    </row>
    <row r="3009" spans="2:2">
      <c r="B3009" s="17"/>
    </row>
    <row r="3010" spans="2:2">
      <c r="B3010" s="17"/>
    </row>
    <row r="3011" spans="2:2">
      <c r="B3011" s="17"/>
    </row>
    <row r="3012" spans="2:2">
      <c r="B3012" s="17"/>
    </row>
    <row r="3013" spans="2:2">
      <c r="B3013" s="17"/>
    </row>
    <row r="3014" spans="2:2">
      <c r="B3014" s="17"/>
    </row>
    <row r="3015" spans="2:2">
      <c r="B3015" s="17"/>
    </row>
    <row r="3016" spans="2:2">
      <c r="B3016" s="17"/>
    </row>
    <row r="3017" spans="2:2">
      <c r="B3017" s="17"/>
    </row>
    <row r="3018" spans="2:2">
      <c r="B3018" s="17"/>
    </row>
    <row r="3019" spans="2:2">
      <c r="B3019" s="17"/>
    </row>
    <row r="3020" spans="2:2">
      <c r="B3020" s="17"/>
    </row>
    <row r="3021" spans="2:2">
      <c r="B3021" s="17"/>
    </row>
    <row r="3022" spans="2:2">
      <c r="B3022" s="17"/>
    </row>
    <row r="3023" spans="2:2">
      <c r="B3023" s="17"/>
    </row>
    <row r="3024" spans="2:2">
      <c r="B3024" s="17"/>
    </row>
    <row r="3025" spans="2:2">
      <c r="B3025" s="17"/>
    </row>
    <row r="3026" spans="2:2">
      <c r="B3026" s="17"/>
    </row>
    <row r="3027" spans="2:2">
      <c r="B3027" s="17"/>
    </row>
    <row r="3028" spans="2:2">
      <c r="B3028" s="17"/>
    </row>
    <row r="3029" spans="2:2">
      <c r="B3029" s="17"/>
    </row>
    <row r="3030" spans="2:2">
      <c r="B3030" s="17"/>
    </row>
    <row r="3031" spans="2:2">
      <c r="B3031" s="17"/>
    </row>
    <row r="3032" spans="2:2">
      <c r="B3032" s="17"/>
    </row>
    <row r="3033" spans="2:2">
      <c r="B3033" s="17"/>
    </row>
    <row r="3034" spans="2:2">
      <c r="B3034" s="17"/>
    </row>
    <row r="3035" spans="2:2">
      <c r="B3035" s="17"/>
    </row>
    <row r="3036" spans="2:2">
      <c r="B3036" s="17"/>
    </row>
    <row r="3037" spans="2:2">
      <c r="B3037" s="17"/>
    </row>
    <row r="3038" spans="2:2">
      <c r="B3038" s="17"/>
    </row>
    <row r="3039" spans="2:2">
      <c r="B3039" s="17"/>
    </row>
    <row r="3040" spans="2:2">
      <c r="B3040" s="17"/>
    </row>
    <row r="3041" spans="2:2">
      <c r="B3041" s="17"/>
    </row>
    <row r="3042" spans="2:2">
      <c r="B3042" s="17"/>
    </row>
    <row r="3043" spans="2:2">
      <c r="B3043" s="17"/>
    </row>
    <row r="3044" spans="2:2">
      <c r="B3044" s="17"/>
    </row>
    <row r="3045" spans="2:2">
      <c r="B3045" s="17"/>
    </row>
    <row r="3046" spans="2:2">
      <c r="B3046" s="17"/>
    </row>
    <row r="3047" spans="2:2">
      <c r="B3047" s="17"/>
    </row>
    <row r="3048" spans="2:2">
      <c r="B3048" s="17"/>
    </row>
    <row r="3049" spans="2:2">
      <c r="B3049" s="17"/>
    </row>
    <row r="3050" spans="2:2">
      <c r="B3050" s="17"/>
    </row>
    <row r="3051" spans="2:2">
      <c r="B3051" s="17"/>
    </row>
    <row r="3052" spans="2:2">
      <c r="B3052" s="17"/>
    </row>
    <row r="3053" spans="2:2">
      <c r="B3053" s="17"/>
    </row>
    <row r="3054" spans="2:2">
      <c r="B3054" s="17"/>
    </row>
    <row r="3055" spans="2:2">
      <c r="B3055" s="17"/>
    </row>
    <row r="3056" spans="2:2">
      <c r="B3056" s="17"/>
    </row>
    <row r="3057" spans="2:2">
      <c r="B3057" s="17"/>
    </row>
    <row r="3058" spans="2:2">
      <c r="B3058" s="17"/>
    </row>
    <row r="3059" spans="2:2">
      <c r="B3059" s="17"/>
    </row>
    <row r="3060" spans="2:2">
      <c r="B3060" s="17"/>
    </row>
    <row r="3061" spans="2:2">
      <c r="B3061" s="17"/>
    </row>
    <row r="3062" spans="2:2">
      <c r="B3062" s="17"/>
    </row>
    <row r="3063" spans="2:2">
      <c r="B3063" s="17"/>
    </row>
    <row r="3064" spans="2:2">
      <c r="B3064" s="17"/>
    </row>
    <row r="3065" spans="2:2">
      <c r="B3065" s="17"/>
    </row>
    <row r="3066" spans="2:2">
      <c r="B3066" s="17"/>
    </row>
    <row r="3067" spans="2:2">
      <c r="B3067" s="17"/>
    </row>
    <row r="3068" spans="2:2">
      <c r="B3068" s="17"/>
    </row>
    <row r="3069" spans="2:2">
      <c r="B3069" s="17"/>
    </row>
    <row r="3070" spans="2:2">
      <c r="B3070" s="17"/>
    </row>
    <row r="3071" spans="2:2">
      <c r="B3071" s="17"/>
    </row>
    <row r="3072" spans="2:2">
      <c r="B3072" s="17"/>
    </row>
    <row r="3073" spans="2:2">
      <c r="B3073" s="17"/>
    </row>
    <row r="3074" spans="2:2">
      <c r="B3074" s="17"/>
    </row>
    <row r="3075" spans="2:2">
      <c r="B3075" s="17"/>
    </row>
    <row r="3076" spans="2:2">
      <c r="B3076" s="17"/>
    </row>
    <row r="3077" spans="2:2">
      <c r="B3077" s="17"/>
    </row>
    <row r="3078" spans="2:2">
      <c r="B3078" s="17"/>
    </row>
    <row r="3079" spans="2:2">
      <c r="B3079" s="17"/>
    </row>
    <row r="3080" spans="2:2">
      <c r="B3080" s="17"/>
    </row>
    <row r="3081" spans="2:2">
      <c r="B3081" s="17"/>
    </row>
    <row r="3082" spans="2:2">
      <c r="B3082" s="17"/>
    </row>
    <row r="3083" spans="2:2">
      <c r="B3083" s="17"/>
    </row>
    <row r="3084" spans="2:2">
      <c r="B3084" s="17"/>
    </row>
    <row r="3085" spans="2:2">
      <c r="B3085" s="17"/>
    </row>
    <row r="3086" spans="2:2">
      <c r="B3086" s="17"/>
    </row>
    <row r="3087" spans="2:2">
      <c r="B3087" s="17"/>
    </row>
    <row r="3088" spans="2:2">
      <c r="B3088" s="17"/>
    </row>
    <row r="3089" spans="2:2">
      <c r="B3089" s="17"/>
    </row>
    <row r="3090" spans="2:2">
      <c r="B3090" s="17"/>
    </row>
    <row r="3091" spans="2:2">
      <c r="B3091" s="17"/>
    </row>
    <row r="3092" spans="2:2">
      <c r="B3092" s="17"/>
    </row>
    <row r="3093" spans="2:2">
      <c r="B3093" s="17"/>
    </row>
    <row r="3094" spans="2:2">
      <c r="B3094" s="17"/>
    </row>
    <row r="3095" spans="2:2">
      <c r="B3095" s="17"/>
    </row>
    <row r="3096" spans="2:2">
      <c r="B3096" s="17"/>
    </row>
    <row r="3097" spans="2:2">
      <c r="B3097" s="17"/>
    </row>
    <row r="3098" spans="2:2">
      <c r="B3098" s="17"/>
    </row>
    <row r="3099" spans="2:2">
      <c r="B3099" s="17"/>
    </row>
    <row r="3100" spans="2:2">
      <c r="B3100" s="17"/>
    </row>
    <row r="3101" spans="2:2">
      <c r="B3101" s="17"/>
    </row>
    <row r="3102" spans="2:2">
      <c r="B3102" s="17"/>
    </row>
    <row r="3103" spans="2:2">
      <c r="B3103" s="17"/>
    </row>
    <row r="3104" spans="2:2">
      <c r="B3104" s="17"/>
    </row>
    <row r="3105" spans="2:2">
      <c r="B3105" s="17"/>
    </row>
    <row r="3106" spans="2:2">
      <c r="B3106" s="17"/>
    </row>
    <row r="3107" spans="2:2">
      <c r="B3107" s="17"/>
    </row>
    <row r="3108" spans="2:2">
      <c r="B3108" s="17"/>
    </row>
    <row r="3109" spans="2:2">
      <c r="B3109" s="17"/>
    </row>
    <row r="3110" spans="2:2">
      <c r="B3110" s="17"/>
    </row>
    <row r="3111" spans="2:2">
      <c r="B3111" s="17"/>
    </row>
    <row r="3112" spans="2:2">
      <c r="B3112" s="17"/>
    </row>
    <row r="3113" spans="2:2">
      <c r="B3113" s="17"/>
    </row>
    <row r="3114" spans="2:2">
      <c r="B3114" s="17"/>
    </row>
    <row r="3115" spans="2:2">
      <c r="B3115" s="17"/>
    </row>
    <row r="3116" spans="2:2">
      <c r="B3116" s="17"/>
    </row>
    <row r="3117" spans="2:2">
      <c r="B3117" s="17"/>
    </row>
    <row r="3118" spans="2:2">
      <c r="B3118" s="17"/>
    </row>
    <row r="3119" spans="2:2">
      <c r="B3119" s="17"/>
    </row>
    <row r="3120" spans="2:2">
      <c r="B3120" s="17"/>
    </row>
    <row r="3121" spans="2:2">
      <c r="B3121" s="17"/>
    </row>
    <row r="3122" spans="2:2">
      <c r="B3122" s="17"/>
    </row>
    <row r="3123" spans="2:2">
      <c r="B3123" s="17"/>
    </row>
    <row r="3124" spans="2:2">
      <c r="B3124" s="17"/>
    </row>
    <row r="3125" spans="2:2">
      <c r="B3125" s="17"/>
    </row>
    <row r="3126" spans="2:2">
      <c r="B3126" s="17"/>
    </row>
    <row r="3127" spans="2:2">
      <c r="B3127" s="17"/>
    </row>
    <row r="3128" spans="2:2">
      <c r="B3128" s="17"/>
    </row>
    <row r="3129" spans="2:2">
      <c r="B3129" s="17"/>
    </row>
    <row r="3130" spans="2:2">
      <c r="B3130" s="17"/>
    </row>
    <row r="3131" spans="2:2">
      <c r="B3131" s="17"/>
    </row>
    <row r="3132" spans="2:2">
      <c r="B3132" s="17"/>
    </row>
    <row r="3133" spans="2:2">
      <c r="B3133" s="17"/>
    </row>
    <row r="3134" spans="2:2">
      <c r="B3134" s="17"/>
    </row>
    <row r="3135" spans="2:2">
      <c r="B3135" s="17"/>
    </row>
    <row r="3136" spans="2:2">
      <c r="B3136" s="17"/>
    </row>
    <row r="3137" spans="2:2">
      <c r="B3137" s="17"/>
    </row>
    <row r="3138" spans="2:2">
      <c r="B3138" s="17"/>
    </row>
    <row r="3139" spans="2:2">
      <c r="B3139" s="17"/>
    </row>
    <row r="3140" spans="2:2">
      <c r="B3140" s="17"/>
    </row>
    <row r="3141" spans="2:2">
      <c r="B3141" s="17"/>
    </row>
    <row r="3142" spans="2:2">
      <c r="B3142" s="17"/>
    </row>
    <row r="3143" spans="2:2">
      <c r="B3143" s="17"/>
    </row>
    <row r="3144" spans="2:2">
      <c r="B3144" s="17"/>
    </row>
    <row r="3145" spans="2:2">
      <c r="B3145" s="17"/>
    </row>
    <row r="3146" spans="2:2">
      <c r="B3146" s="17"/>
    </row>
    <row r="3147" spans="2:2">
      <c r="B3147" s="17"/>
    </row>
    <row r="3148" spans="2:2">
      <c r="B3148" s="17"/>
    </row>
    <row r="3149" spans="2:2">
      <c r="B3149" s="17"/>
    </row>
    <row r="3150" spans="2:2">
      <c r="B3150" s="17"/>
    </row>
    <row r="3151" spans="2:2">
      <c r="B3151" s="17"/>
    </row>
    <row r="3152" spans="2:2">
      <c r="B3152" s="17"/>
    </row>
    <row r="3153" spans="2:2">
      <c r="B3153" s="17"/>
    </row>
    <row r="3154" spans="2:2">
      <c r="B3154" s="17"/>
    </row>
    <row r="3155" spans="2:2">
      <c r="B3155" s="17"/>
    </row>
    <row r="3156" spans="2:2">
      <c r="B3156" s="17"/>
    </row>
    <row r="3157" spans="2:2">
      <c r="B3157" s="17"/>
    </row>
    <row r="3158" spans="2:2">
      <c r="B3158" s="17"/>
    </row>
    <row r="3159" spans="2:2">
      <c r="B3159" s="17"/>
    </row>
    <row r="3160" spans="2:2">
      <c r="B3160" s="17"/>
    </row>
    <row r="3161" spans="2:2">
      <c r="B3161" s="17"/>
    </row>
    <row r="3162" spans="2:2">
      <c r="B3162" s="17"/>
    </row>
    <row r="3163" spans="2:2">
      <c r="B3163" s="17"/>
    </row>
    <row r="3164" spans="2:2">
      <c r="B3164" s="17"/>
    </row>
    <row r="3165" spans="2:2">
      <c r="B3165" s="17"/>
    </row>
    <row r="3166" spans="2:2">
      <c r="B3166" s="17"/>
    </row>
    <row r="3167" spans="2:2">
      <c r="B3167" s="17"/>
    </row>
    <row r="3168" spans="2:2">
      <c r="B3168" s="17"/>
    </row>
    <row r="3169" spans="2:2">
      <c r="B3169" s="17"/>
    </row>
    <row r="3170" spans="2:2">
      <c r="B3170" s="17"/>
    </row>
    <row r="3171" spans="2:2">
      <c r="B3171" s="17"/>
    </row>
    <row r="3172" spans="2:2">
      <c r="B3172" s="17"/>
    </row>
    <row r="3173" spans="2:2">
      <c r="B3173" s="17"/>
    </row>
    <row r="3174" spans="2:2">
      <c r="B3174" s="17"/>
    </row>
    <row r="3175" spans="2:2">
      <c r="B3175" s="17"/>
    </row>
    <row r="3176" spans="2:2">
      <c r="B3176" s="17"/>
    </row>
    <row r="3177" spans="2:2">
      <c r="B3177" s="17"/>
    </row>
    <row r="3178" spans="2:2">
      <c r="B3178" s="17"/>
    </row>
    <row r="3179" spans="2:2">
      <c r="B3179" s="17"/>
    </row>
    <row r="3180" spans="2:2">
      <c r="B3180" s="17"/>
    </row>
    <row r="3181" spans="2:2">
      <c r="B3181" s="17"/>
    </row>
    <row r="3182" spans="2:2">
      <c r="B3182" s="17"/>
    </row>
    <row r="3183" spans="2:2">
      <c r="B3183" s="17"/>
    </row>
    <row r="3184" spans="2:2">
      <c r="B3184" s="17"/>
    </row>
    <row r="3185" spans="2:2">
      <c r="B3185" s="17"/>
    </row>
    <row r="3186" spans="2:2">
      <c r="B3186" s="17"/>
    </row>
    <row r="3187" spans="2:2">
      <c r="B3187" s="17"/>
    </row>
    <row r="3188" spans="2:2">
      <c r="B3188" s="17"/>
    </row>
    <row r="3189" spans="2:2">
      <c r="B3189" s="17"/>
    </row>
    <row r="3190" spans="2:2">
      <c r="B3190" s="17"/>
    </row>
    <row r="3191" spans="2:2">
      <c r="B3191" s="17"/>
    </row>
    <row r="3192" spans="2:2">
      <c r="B3192" s="17"/>
    </row>
    <row r="3193" spans="2:2">
      <c r="B3193" s="17"/>
    </row>
    <row r="3194" spans="2:2">
      <c r="B3194" s="17"/>
    </row>
    <row r="3195" spans="2:2">
      <c r="B3195" s="17"/>
    </row>
    <row r="3196" spans="2:2">
      <c r="B3196" s="17"/>
    </row>
    <row r="3197" spans="2:2">
      <c r="B3197" s="17"/>
    </row>
    <row r="3198" spans="2:2">
      <c r="B3198" s="17"/>
    </row>
    <row r="3199" spans="2:2">
      <c r="B3199" s="17"/>
    </row>
    <row r="3200" spans="2:2">
      <c r="B3200" s="17"/>
    </row>
    <row r="3201" spans="2:2">
      <c r="B3201" s="17"/>
    </row>
    <row r="3202" spans="2:2">
      <c r="B3202" s="17"/>
    </row>
    <row r="3203" spans="2:2">
      <c r="B3203" s="17"/>
    </row>
    <row r="3204" spans="2:2">
      <c r="B3204" s="17"/>
    </row>
    <row r="3205" spans="2:2">
      <c r="B3205" s="17"/>
    </row>
    <row r="3206" spans="2:2">
      <c r="B3206" s="17"/>
    </row>
    <row r="3207" spans="2:2">
      <c r="B3207" s="17"/>
    </row>
    <row r="3208" spans="2:2">
      <c r="B3208" s="17"/>
    </row>
    <row r="3209" spans="2:2">
      <c r="B3209" s="17"/>
    </row>
    <row r="3210" spans="2:2">
      <c r="B3210" s="17"/>
    </row>
    <row r="3211" spans="2:2">
      <c r="B3211" s="17"/>
    </row>
    <row r="3212" spans="2:2">
      <c r="B3212" s="17"/>
    </row>
    <row r="3213" spans="2:2">
      <c r="B3213" s="17"/>
    </row>
    <row r="3214" spans="2:2">
      <c r="B3214" s="17"/>
    </row>
    <row r="3215" spans="2:2">
      <c r="B3215" s="17"/>
    </row>
    <row r="3216" spans="2:2">
      <c r="B3216" s="17"/>
    </row>
    <row r="3217" spans="2:2">
      <c r="B3217" s="17"/>
    </row>
    <row r="3218" spans="2:2">
      <c r="B3218" s="17"/>
    </row>
    <row r="3219" spans="2:2">
      <c r="B3219" s="17"/>
    </row>
    <row r="3220" spans="2:2">
      <c r="B3220" s="17"/>
    </row>
    <row r="3221" spans="2:2">
      <c r="B3221" s="17"/>
    </row>
    <row r="3222" spans="2:2">
      <c r="B3222" s="17"/>
    </row>
    <row r="3223" spans="2:2">
      <c r="B3223" s="17"/>
    </row>
    <row r="3224" spans="2:2">
      <c r="B3224" s="17"/>
    </row>
    <row r="3225" spans="2:2">
      <c r="B3225" s="17"/>
    </row>
    <row r="3226" spans="2:2">
      <c r="B3226" s="17"/>
    </row>
    <row r="3227" spans="2:2">
      <c r="B3227" s="17"/>
    </row>
    <row r="3228" spans="2:2">
      <c r="B3228" s="17"/>
    </row>
    <row r="3229" spans="2:2">
      <c r="B3229" s="17"/>
    </row>
    <row r="3230" spans="2:2">
      <c r="B3230" s="17"/>
    </row>
    <row r="3231" spans="2:2">
      <c r="B3231" s="17"/>
    </row>
    <row r="3232" spans="2:2">
      <c r="B3232" s="17"/>
    </row>
    <row r="3233" spans="2:2">
      <c r="B3233" s="17"/>
    </row>
    <row r="3234" spans="2:2">
      <c r="B3234" s="17"/>
    </row>
    <row r="3235" spans="2:2">
      <c r="B3235" s="17"/>
    </row>
    <row r="3236" spans="2:2">
      <c r="B3236" s="17"/>
    </row>
    <row r="3237" spans="2:2">
      <c r="B3237" s="17"/>
    </row>
    <row r="3238" spans="2:2">
      <c r="B3238" s="17"/>
    </row>
    <row r="3239" spans="2:2">
      <c r="B3239" s="17"/>
    </row>
    <row r="3240" spans="2:2">
      <c r="B3240" s="17"/>
    </row>
    <row r="3241" spans="2:2">
      <c r="B3241" s="17"/>
    </row>
    <row r="3242" spans="2:2">
      <c r="B3242" s="17"/>
    </row>
    <row r="3243" spans="2:2">
      <c r="B3243" s="17"/>
    </row>
    <row r="3244" spans="2:2">
      <c r="B3244" s="17"/>
    </row>
    <row r="3245" spans="2:2">
      <c r="B3245" s="17"/>
    </row>
    <row r="3246" spans="2:2">
      <c r="B3246" s="17"/>
    </row>
    <row r="3247" spans="2:2">
      <c r="B3247" s="17"/>
    </row>
    <row r="3248" spans="2:2">
      <c r="B3248" s="17"/>
    </row>
    <row r="3249" spans="2:2">
      <c r="B3249" s="17"/>
    </row>
    <row r="3250" spans="2:2">
      <c r="B3250" s="17"/>
    </row>
    <row r="3251" spans="2:2">
      <c r="B3251" s="17"/>
    </row>
    <row r="3252" spans="2:2">
      <c r="B3252" s="17"/>
    </row>
    <row r="3253" spans="2:2">
      <c r="B3253" s="17"/>
    </row>
    <row r="3254" spans="2:2">
      <c r="B3254" s="17"/>
    </row>
    <row r="3255" spans="2:2">
      <c r="B3255" s="17"/>
    </row>
    <row r="3256" spans="2:2">
      <c r="B3256" s="17"/>
    </row>
    <row r="3257" spans="2:2">
      <c r="B3257" s="17"/>
    </row>
    <row r="3258" spans="2:2">
      <c r="B3258" s="1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7"/>
  <sheetViews>
    <sheetView workbookViewId="0">
      <selection activeCell="E18" sqref="E18"/>
    </sheetView>
  </sheetViews>
  <sheetFormatPr defaultRowHeight="14.25"/>
  <cols>
    <col min="1" max="1" width="42.25" customWidth="1"/>
    <col min="3" max="3" width="35.125" customWidth="1"/>
    <col min="4" max="4" width="31.625" customWidth="1"/>
    <col min="5" max="5" width="35.625" customWidth="1"/>
    <col min="6" max="6" width="21.125" customWidth="1"/>
    <col min="7" max="7" width="21.625" customWidth="1"/>
    <col min="8" max="8" width="20.625" customWidth="1"/>
  </cols>
  <sheetData>
    <row r="1" spans="1:8" ht="20.25" customHeight="1">
      <c r="A1" s="55" t="s">
        <v>47</v>
      </c>
      <c r="C1" s="25" t="s">
        <v>92</v>
      </c>
      <c r="D1" s="25" t="s">
        <v>93</v>
      </c>
      <c r="E1" s="41"/>
    </row>
    <row r="2" spans="1:8" ht="20.25" customHeight="1">
      <c r="A2" s="55"/>
      <c r="C2" s="15" t="s">
        <v>13</v>
      </c>
      <c r="D2" s="26">
        <v>15</v>
      </c>
      <c r="E2" s="41"/>
    </row>
    <row r="3" spans="1:8" ht="20.25" customHeight="1">
      <c r="A3" s="55"/>
      <c r="C3" s="15" t="s">
        <v>14</v>
      </c>
      <c r="D3" s="26">
        <v>7</v>
      </c>
      <c r="E3" s="41"/>
    </row>
    <row r="4" spans="1:8" ht="20.25" customHeight="1">
      <c r="A4" s="55"/>
      <c r="C4" s="15" t="s">
        <v>15</v>
      </c>
      <c r="D4" s="26">
        <v>1</v>
      </c>
      <c r="E4" s="41"/>
    </row>
    <row r="5" spans="1:8" ht="20.25" customHeight="1">
      <c r="A5" s="55"/>
      <c r="C5" s="15" t="s">
        <v>16</v>
      </c>
      <c r="D5" s="26">
        <v>2</v>
      </c>
      <c r="E5" s="41"/>
    </row>
    <row r="6" spans="1:8" ht="20.25" customHeight="1">
      <c r="C6" s="15" t="s">
        <v>42</v>
      </c>
      <c r="E6" s="41"/>
      <c r="F6" s="56">
        <v>55</v>
      </c>
      <c r="G6" s="56">
        <v>14</v>
      </c>
      <c r="H6" s="56">
        <v>58</v>
      </c>
    </row>
    <row r="7" spans="1:8" ht="20.25" customHeight="1">
      <c r="C7" s="15" t="s">
        <v>45</v>
      </c>
      <c r="E7" s="41"/>
      <c r="F7" s="57"/>
      <c r="G7" s="57"/>
      <c r="H7" s="57"/>
    </row>
    <row r="8" spans="1:8" ht="20.25" customHeight="1">
      <c r="A8" s="16"/>
      <c r="C8" s="15" t="s">
        <v>46</v>
      </c>
      <c r="E8" s="41"/>
      <c r="F8" s="15" t="s">
        <v>59</v>
      </c>
      <c r="G8" s="15" t="s">
        <v>62</v>
      </c>
      <c r="H8" s="15" t="s">
        <v>63</v>
      </c>
    </row>
    <row r="9" spans="1:8" ht="20.25" customHeight="1">
      <c r="A9" s="16"/>
      <c r="C9" s="15" t="s">
        <v>128</v>
      </c>
      <c r="E9" s="41"/>
      <c r="F9" s="15" t="s">
        <v>60</v>
      </c>
      <c r="G9" s="15" t="s">
        <v>70</v>
      </c>
      <c r="H9" s="15" t="s">
        <v>71</v>
      </c>
    </row>
    <row r="10" spans="1:8" ht="20.25" customHeight="1">
      <c r="A10" s="16"/>
      <c r="C10" s="15" t="s">
        <v>86</v>
      </c>
      <c r="E10" s="41"/>
      <c r="F10" s="15" t="s">
        <v>72</v>
      </c>
      <c r="G10" s="15" t="s">
        <v>73</v>
      </c>
      <c r="H10" s="15" t="s">
        <v>74</v>
      </c>
    </row>
    <row r="11" spans="1:8" ht="20.25" customHeight="1">
      <c r="A11" s="16"/>
      <c r="C11" s="15" t="s">
        <v>54</v>
      </c>
      <c r="E11" s="41"/>
      <c r="F11" s="15" t="s">
        <v>61</v>
      </c>
      <c r="G11" s="15" t="s">
        <v>75</v>
      </c>
      <c r="H11" s="15" t="s">
        <v>76</v>
      </c>
    </row>
    <row r="12" spans="1:8" ht="20.25" customHeight="1">
      <c r="A12" s="16"/>
      <c r="C12" s="15" t="s">
        <v>52</v>
      </c>
      <c r="E12" s="41"/>
      <c r="F12" s="15" t="s">
        <v>77</v>
      </c>
      <c r="G12" s="15" t="s">
        <v>78</v>
      </c>
      <c r="H12" s="15" t="s">
        <v>79</v>
      </c>
    </row>
    <row r="13" spans="1:8" ht="20.25" customHeight="1">
      <c r="A13" s="16"/>
      <c r="C13" s="15" t="s">
        <v>48</v>
      </c>
      <c r="E13" s="41"/>
      <c r="F13" s="15" t="s">
        <v>80</v>
      </c>
      <c r="G13" s="15" t="s">
        <v>81</v>
      </c>
      <c r="H13" s="15" t="s">
        <v>82</v>
      </c>
    </row>
    <row r="14" spans="1:8" ht="20.25" customHeight="1">
      <c r="A14" s="16"/>
      <c r="C14" s="15" t="s">
        <v>53</v>
      </c>
      <c r="E14" s="41"/>
      <c r="F14" s="15" t="s">
        <v>83</v>
      </c>
      <c r="G14" s="15" t="s">
        <v>84</v>
      </c>
      <c r="H14" s="15" t="s">
        <v>85</v>
      </c>
    </row>
    <row r="15" spans="1:8" ht="20.25" customHeight="1">
      <c r="A15" s="16"/>
      <c r="C15" s="15" t="s">
        <v>51</v>
      </c>
      <c r="E15" s="41"/>
      <c r="F15" s="15" t="s">
        <v>89</v>
      </c>
      <c r="G15" s="15" t="s">
        <v>90</v>
      </c>
      <c r="H15" s="15" t="s">
        <v>91</v>
      </c>
    </row>
    <row r="16" spans="1:8" ht="20.25" customHeight="1">
      <c r="A16" s="16"/>
      <c r="C16" s="15" t="s">
        <v>49</v>
      </c>
      <c r="E16" s="41"/>
      <c r="F16" s="15" t="s">
        <v>94</v>
      </c>
      <c r="G16" s="15" t="s">
        <v>98</v>
      </c>
      <c r="H16" s="15" t="s">
        <v>102</v>
      </c>
    </row>
    <row r="17" spans="3:8" ht="20.25" customHeight="1">
      <c r="C17" s="15" t="s">
        <v>50</v>
      </c>
      <c r="E17" s="41"/>
      <c r="F17" s="15" t="s">
        <v>95</v>
      </c>
      <c r="G17" s="15" t="s">
        <v>99</v>
      </c>
      <c r="H17" s="15" t="s">
        <v>95</v>
      </c>
    </row>
    <row r="18" spans="3:8" ht="20.25" customHeight="1">
      <c r="C18" s="15" t="s">
        <v>56</v>
      </c>
      <c r="E18" s="41"/>
      <c r="F18" s="15" t="s">
        <v>96</v>
      </c>
      <c r="G18" s="15" t="s">
        <v>100</v>
      </c>
      <c r="H18" s="15" t="s">
        <v>96</v>
      </c>
    </row>
    <row r="19" spans="3:8" ht="20.25" customHeight="1">
      <c r="C19" s="15" t="s">
        <v>57</v>
      </c>
      <c r="E19" s="41"/>
      <c r="F19" s="15" t="s">
        <v>97</v>
      </c>
      <c r="G19" s="15" t="s">
        <v>101</v>
      </c>
      <c r="H19" s="15" t="s">
        <v>97</v>
      </c>
    </row>
    <row r="20" spans="3:8" ht="20.25" customHeight="1">
      <c r="C20" s="15" t="s">
        <v>55</v>
      </c>
      <c r="E20" s="41"/>
      <c r="F20" s="15" t="s">
        <v>105</v>
      </c>
      <c r="G20" s="15" t="s">
        <v>104</v>
      </c>
      <c r="H20" s="15" t="s">
        <v>103</v>
      </c>
    </row>
    <row r="21" spans="3:8" ht="20.25" customHeight="1">
      <c r="C21" s="15" t="s">
        <v>58</v>
      </c>
      <c r="E21" s="41"/>
      <c r="F21" s="15" t="s">
        <v>108</v>
      </c>
      <c r="G21" s="15" t="s">
        <v>109</v>
      </c>
      <c r="H21" s="15" t="s">
        <v>110</v>
      </c>
    </row>
    <row r="22" spans="3:8" ht="20.25" customHeight="1">
      <c r="C22" s="15" t="s">
        <v>88</v>
      </c>
      <c r="E22" s="41"/>
      <c r="F22" s="15" t="s">
        <v>94</v>
      </c>
      <c r="G22" s="15" t="s">
        <v>111</v>
      </c>
      <c r="H22" s="15" t="s">
        <v>102</v>
      </c>
    </row>
    <row r="23" spans="3:8" ht="20.25" customHeight="1">
      <c r="C23" s="15" t="s">
        <v>64</v>
      </c>
      <c r="E23" s="41"/>
      <c r="F23" s="41"/>
      <c r="G23" s="41"/>
      <c r="H23" s="41"/>
    </row>
    <row r="24" spans="3:8" ht="20.25" customHeight="1">
      <c r="C24" s="15" t="s">
        <v>65</v>
      </c>
      <c r="F24" s="41"/>
      <c r="G24" s="41"/>
      <c r="H24" s="41"/>
    </row>
    <row r="25" spans="3:8" ht="20.25" customHeight="1">
      <c r="C25" s="15" t="s">
        <v>66</v>
      </c>
      <c r="F25" s="41"/>
      <c r="G25" s="41"/>
      <c r="H25" s="41"/>
    </row>
    <row r="26" spans="3:8" ht="20.25" customHeight="1">
      <c r="C26" s="15" t="s">
        <v>67</v>
      </c>
      <c r="F26" s="41"/>
      <c r="G26" s="41"/>
      <c r="H26" s="41"/>
    </row>
    <row r="27" spans="3:8" ht="20.25" customHeight="1">
      <c r="C27" s="15" t="s">
        <v>68</v>
      </c>
      <c r="F27" s="41"/>
      <c r="G27" s="41"/>
      <c r="H27" s="41"/>
    </row>
    <row r="28" spans="3:8" ht="20.25" customHeight="1">
      <c r="C28" s="15" t="s">
        <v>69</v>
      </c>
      <c r="D28" s="41"/>
      <c r="E28" s="41"/>
      <c r="F28" s="41"/>
      <c r="G28" s="41"/>
      <c r="H28" s="41"/>
    </row>
    <row r="29" spans="3:8" ht="20.25" customHeight="1">
      <c r="C29" s="15" t="s">
        <v>87</v>
      </c>
      <c r="D29" s="41"/>
      <c r="E29" s="41"/>
      <c r="F29" s="41"/>
      <c r="G29" s="41"/>
      <c r="H29" s="41"/>
    </row>
    <row r="30" spans="3:8">
      <c r="D30" s="41"/>
      <c r="E30" s="41"/>
      <c r="F30" s="41"/>
      <c r="G30" s="41"/>
      <c r="H30" s="41"/>
    </row>
    <row r="31" spans="3:8">
      <c r="D31" s="41"/>
      <c r="E31" s="41"/>
      <c r="F31" s="41"/>
      <c r="G31" s="41"/>
    </row>
    <row r="32" spans="3:8">
      <c r="D32" s="41"/>
      <c r="E32" s="41"/>
      <c r="F32" s="41"/>
      <c r="G32" s="41"/>
    </row>
    <row r="33" spans="4:7">
      <c r="D33" s="41"/>
      <c r="E33" s="41"/>
      <c r="F33" s="41"/>
      <c r="G33" s="41"/>
    </row>
    <row r="34" spans="4:7">
      <c r="D34" s="41"/>
      <c r="E34" s="41"/>
      <c r="F34" s="41"/>
      <c r="G34" s="41"/>
    </row>
    <row r="35" spans="4:7">
      <c r="D35" s="41"/>
      <c r="E35" s="41"/>
    </row>
    <row r="36" spans="4:7">
      <c r="D36" s="41"/>
      <c r="E36" s="41"/>
    </row>
    <row r="37" spans="4:7">
      <c r="D37" s="41"/>
      <c r="E37" s="41"/>
    </row>
  </sheetData>
  <mergeCells count="4">
    <mergeCell ref="A1:A5"/>
    <mergeCell ref="F6:F7"/>
    <mergeCell ref="H6:H7"/>
    <mergeCell ref="G6:G7"/>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09.07</vt:lpstr>
      <vt:lpstr>Greige</vt:lpstr>
      <vt:lpstr>SD058</vt:lpstr>
      <vt:lpstr>PP055-MO</vt:lpstr>
      <vt:lpstr>PP055-OW</vt:lpstr>
      <vt:lpstr>WM014</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2026-04-02T04:52:28Z</dcterms:modified>
</cp:coreProperties>
</file>