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B车间" sheetId="2" r:id="rId1"/>
    <sheet name="C车间" sheetId="3" r:id="rId2"/>
    <sheet name="D车间" sheetId="4" r:id="rId3"/>
    <sheet name="E车间" sheetId="5" r:id="rId4"/>
    <sheet name="Sheet1" sheetId="1" r:id="rId5"/>
  </sheets>
  <externalReferences>
    <externalReference r:id="rId6"/>
    <externalReference r:id="rId7"/>
    <externalReference r:id="rId8"/>
    <externalReference r:id="rId9"/>
    <externalReference r:id="rId10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0" i="5" l="1"/>
  <c r="R30" i="5"/>
  <c r="P30" i="5"/>
  <c r="N30" i="5"/>
  <c r="L30" i="5"/>
  <c r="I30" i="5"/>
  <c r="G30" i="5"/>
  <c r="E30" i="5"/>
  <c r="C30" i="5"/>
  <c r="A30" i="5"/>
  <c r="T26" i="5"/>
  <c r="R26" i="5"/>
  <c r="P26" i="5"/>
  <c r="N26" i="5"/>
  <c r="L26" i="5"/>
  <c r="I26" i="5"/>
  <c r="G26" i="5"/>
  <c r="E26" i="5"/>
  <c r="C26" i="5"/>
  <c r="A26" i="5"/>
  <c r="T22" i="5"/>
  <c r="R22" i="5"/>
  <c r="P22" i="5"/>
  <c r="N22" i="5"/>
  <c r="L22" i="5"/>
  <c r="I22" i="5"/>
  <c r="G22" i="5"/>
  <c r="E22" i="5"/>
  <c r="C22" i="5"/>
  <c r="A22" i="5"/>
  <c r="T17" i="5"/>
  <c r="R17" i="5"/>
  <c r="P17" i="5"/>
  <c r="N17" i="5"/>
  <c r="L17" i="5"/>
  <c r="I17" i="5"/>
  <c r="G17" i="5"/>
  <c r="E17" i="5"/>
  <c r="C17" i="5"/>
  <c r="A17" i="5"/>
  <c r="T13" i="5"/>
  <c r="R13" i="5"/>
  <c r="P13" i="5"/>
  <c r="N13" i="5"/>
  <c r="L13" i="5"/>
  <c r="I13" i="5"/>
  <c r="G13" i="5"/>
  <c r="E13" i="5"/>
  <c r="C13" i="5"/>
  <c r="A13" i="5"/>
  <c r="T9" i="5"/>
  <c r="R9" i="5"/>
  <c r="P9" i="5"/>
  <c r="N9" i="5"/>
  <c r="L9" i="5"/>
  <c r="I9" i="5"/>
  <c r="G9" i="5"/>
  <c r="E9" i="5"/>
  <c r="C9" i="5"/>
  <c r="A9" i="5"/>
  <c r="T5" i="5"/>
  <c r="R5" i="5"/>
  <c r="P5" i="5"/>
  <c r="N5" i="5"/>
  <c r="L5" i="5"/>
  <c r="I5" i="5"/>
  <c r="G5" i="5"/>
  <c r="E5" i="5"/>
  <c r="C5" i="5"/>
  <c r="A5" i="5"/>
  <c r="R2" i="5"/>
  <c r="T30" i="4" l="1"/>
  <c r="R30" i="4"/>
  <c r="P30" i="4"/>
  <c r="N30" i="4"/>
  <c r="L30" i="4"/>
  <c r="I30" i="4"/>
  <c r="G30" i="4"/>
  <c r="E30" i="4"/>
  <c r="C30" i="4"/>
  <c r="A30" i="4"/>
  <c r="T26" i="4"/>
  <c r="R26" i="4"/>
  <c r="P26" i="4"/>
  <c r="N26" i="4"/>
  <c r="L26" i="4"/>
  <c r="I26" i="4"/>
  <c r="G26" i="4"/>
  <c r="E26" i="4"/>
  <c r="C26" i="4"/>
  <c r="A26" i="4"/>
  <c r="T22" i="4"/>
  <c r="R22" i="4"/>
  <c r="P22" i="4"/>
  <c r="N22" i="4"/>
  <c r="L22" i="4"/>
  <c r="I22" i="4"/>
  <c r="G22" i="4"/>
  <c r="E22" i="4"/>
  <c r="C22" i="4"/>
  <c r="A22" i="4"/>
  <c r="T17" i="4"/>
  <c r="R17" i="4"/>
  <c r="P17" i="4"/>
  <c r="N17" i="4"/>
  <c r="L17" i="4"/>
  <c r="I17" i="4"/>
  <c r="G17" i="4"/>
  <c r="E17" i="4"/>
  <c r="C17" i="4"/>
  <c r="A17" i="4"/>
  <c r="T13" i="4"/>
  <c r="R13" i="4"/>
  <c r="P13" i="4"/>
  <c r="N13" i="4"/>
  <c r="L13" i="4"/>
  <c r="I13" i="4"/>
  <c r="G13" i="4"/>
  <c r="E13" i="4"/>
  <c r="C13" i="4"/>
  <c r="A13" i="4"/>
  <c r="T9" i="4"/>
  <c r="R9" i="4"/>
  <c r="P9" i="4"/>
  <c r="N9" i="4"/>
  <c r="L9" i="4"/>
  <c r="I9" i="4"/>
  <c r="G9" i="4"/>
  <c r="E9" i="4"/>
  <c r="C9" i="4"/>
  <c r="A9" i="4"/>
  <c r="T5" i="4"/>
  <c r="R5" i="4"/>
  <c r="P5" i="4"/>
  <c r="N5" i="4"/>
  <c r="L5" i="4"/>
  <c r="I5" i="4"/>
  <c r="G5" i="4"/>
  <c r="E5" i="4"/>
  <c r="C5" i="4"/>
  <c r="A5" i="4"/>
  <c r="R2" i="4"/>
  <c r="T30" i="3" l="1"/>
  <c r="R30" i="3"/>
  <c r="P30" i="3"/>
  <c r="N30" i="3"/>
  <c r="L30" i="3"/>
  <c r="I30" i="3"/>
  <c r="G30" i="3"/>
  <c r="E30" i="3"/>
  <c r="C30" i="3"/>
  <c r="A30" i="3"/>
  <c r="T26" i="3"/>
  <c r="R26" i="3"/>
  <c r="P26" i="3"/>
  <c r="N26" i="3"/>
  <c r="L26" i="3"/>
  <c r="I26" i="3"/>
  <c r="G26" i="3"/>
  <c r="E26" i="3"/>
  <c r="C26" i="3"/>
  <c r="A26" i="3"/>
  <c r="T22" i="3"/>
  <c r="R22" i="3"/>
  <c r="P22" i="3"/>
  <c r="N22" i="3"/>
  <c r="L22" i="3"/>
  <c r="I22" i="3"/>
  <c r="G22" i="3"/>
  <c r="E22" i="3"/>
  <c r="C22" i="3"/>
  <c r="A22" i="3"/>
  <c r="T17" i="3"/>
  <c r="R17" i="3"/>
  <c r="P17" i="3"/>
  <c r="N17" i="3"/>
  <c r="L17" i="3"/>
  <c r="I17" i="3"/>
  <c r="G17" i="3"/>
  <c r="E17" i="3"/>
  <c r="C17" i="3"/>
  <c r="A17" i="3"/>
  <c r="T13" i="3"/>
  <c r="R13" i="3"/>
  <c r="P13" i="3"/>
  <c r="N13" i="3"/>
  <c r="L13" i="3"/>
  <c r="I13" i="3"/>
  <c r="G13" i="3"/>
  <c r="E13" i="3"/>
  <c r="C13" i="3"/>
  <c r="A13" i="3"/>
  <c r="T9" i="3"/>
  <c r="R9" i="3"/>
  <c r="P9" i="3"/>
  <c r="N9" i="3"/>
  <c r="L9" i="3"/>
  <c r="I9" i="3"/>
  <c r="G9" i="3"/>
  <c r="E9" i="3"/>
  <c r="C9" i="3"/>
  <c r="A9" i="3"/>
  <c r="T5" i="3"/>
  <c r="R5" i="3"/>
  <c r="P5" i="3"/>
  <c r="N5" i="3"/>
  <c r="L5" i="3"/>
  <c r="I5" i="3"/>
  <c r="G5" i="3"/>
  <c r="E5" i="3"/>
  <c r="C5" i="3"/>
  <c r="A5" i="3"/>
  <c r="R2" i="3"/>
  <c r="T30" i="2" l="1"/>
  <c r="R30" i="2"/>
  <c r="P30" i="2"/>
  <c r="N30" i="2"/>
  <c r="L30" i="2"/>
  <c r="I30" i="2"/>
  <c r="G30" i="2"/>
  <c r="E30" i="2"/>
  <c r="C30" i="2"/>
  <c r="A30" i="2"/>
  <c r="T26" i="2"/>
  <c r="R26" i="2"/>
  <c r="P26" i="2"/>
  <c r="N26" i="2"/>
  <c r="L26" i="2"/>
  <c r="I26" i="2"/>
  <c r="G26" i="2"/>
  <c r="E26" i="2"/>
  <c r="C26" i="2"/>
  <c r="A26" i="2"/>
  <c r="T22" i="2"/>
  <c r="R22" i="2"/>
  <c r="P22" i="2"/>
  <c r="N22" i="2"/>
  <c r="L22" i="2"/>
  <c r="I22" i="2"/>
  <c r="G22" i="2"/>
  <c r="E22" i="2"/>
  <c r="C22" i="2"/>
  <c r="A22" i="2"/>
  <c r="T17" i="2"/>
  <c r="R17" i="2"/>
  <c r="P17" i="2"/>
  <c r="N17" i="2"/>
  <c r="L17" i="2"/>
  <c r="I17" i="2"/>
  <c r="G17" i="2"/>
  <c r="E17" i="2"/>
  <c r="C17" i="2"/>
  <c r="A17" i="2"/>
  <c r="T13" i="2"/>
  <c r="R13" i="2"/>
  <c r="P13" i="2"/>
  <c r="N13" i="2"/>
  <c r="L13" i="2"/>
  <c r="I13" i="2"/>
  <c r="G13" i="2"/>
  <c r="E13" i="2"/>
  <c r="C13" i="2"/>
  <c r="A13" i="2"/>
  <c r="T9" i="2"/>
  <c r="R9" i="2"/>
  <c r="P9" i="2"/>
  <c r="N9" i="2"/>
  <c r="L9" i="2"/>
  <c r="I9" i="2"/>
  <c r="G9" i="2"/>
  <c r="E9" i="2"/>
  <c r="C9" i="2"/>
  <c r="A9" i="2"/>
  <c r="T5" i="2"/>
  <c r="R5" i="2"/>
  <c r="P5" i="2"/>
  <c r="N5" i="2"/>
  <c r="L5" i="2"/>
  <c r="I5" i="2"/>
  <c r="G5" i="2"/>
  <c r="E5" i="2"/>
  <c r="C5" i="2"/>
  <c r="A5" i="2"/>
  <c r="R2" i="2"/>
</calcChain>
</file>

<file path=xl/sharedStrings.xml><?xml version="1.0" encoding="utf-8"?>
<sst xmlns="http://schemas.openxmlformats.org/spreadsheetml/2006/main" count="970" uniqueCount="360">
  <si>
    <t>TOPT織廠B車間排機分布圖</t>
  </si>
  <si>
    <t>OJ08349A01</t>
  </si>
  <si>
    <t xml:space="preserve">OJ08415A03 </t>
  </si>
  <si>
    <t>OJ08247A03</t>
  </si>
  <si>
    <t>HYS</t>
  </si>
  <si>
    <t>H120</t>
    <phoneticPr fontId="0" type="noConversion"/>
  </si>
  <si>
    <t>BAC2</t>
    <phoneticPr fontId="0" type="noConversion"/>
  </si>
  <si>
    <t>BAD2</t>
    <phoneticPr fontId="0" type="noConversion"/>
  </si>
  <si>
    <t>BAE2</t>
    <phoneticPr fontId="0" type="noConversion"/>
  </si>
  <si>
    <t>BAF2</t>
    <phoneticPr fontId="0" type="noConversion"/>
  </si>
  <si>
    <t>BAG2</t>
    <phoneticPr fontId="0" type="noConversion"/>
  </si>
  <si>
    <t>BAH2</t>
    <phoneticPr fontId="0" type="noConversion"/>
  </si>
  <si>
    <t>BAI2</t>
    <phoneticPr fontId="0" type="noConversion"/>
  </si>
  <si>
    <t>BAJ2</t>
    <phoneticPr fontId="0" type="noConversion"/>
  </si>
  <si>
    <t>BAK2</t>
  </si>
  <si>
    <t>BAL2</t>
    <phoneticPr fontId="0" type="noConversion"/>
  </si>
  <si>
    <t>HYN</t>
  </si>
  <si>
    <t>36G34(3840)</t>
    <phoneticPr fontId="0" type="noConversion"/>
  </si>
  <si>
    <t>32G34(3408)</t>
    <phoneticPr fontId="0" type="noConversion"/>
  </si>
  <si>
    <t>无单</t>
  </si>
  <si>
    <t xml:space="preserve">không có đơn </t>
  </si>
  <si>
    <t>等纱</t>
  </si>
  <si>
    <t>chờ sợi</t>
  </si>
  <si>
    <t>BAC3</t>
    <phoneticPr fontId="0" type="noConversion"/>
  </si>
  <si>
    <t>BAD3</t>
    <phoneticPr fontId="0" type="noConversion"/>
  </si>
  <si>
    <t>BAE3</t>
    <phoneticPr fontId="0" type="noConversion"/>
  </si>
  <si>
    <t>BAF3</t>
    <phoneticPr fontId="0" type="noConversion"/>
  </si>
  <si>
    <t>BAG3</t>
    <phoneticPr fontId="0" type="noConversion"/>
  </si>
  <si>
    <t>BAH3</t>
    <phoneticPr fontId="0" type="noConversion"/>
  </si>
  <si>
    <t>BAI3</t>
    <phoneticPr fontId="0" type="noConversion"/>
  </si>
  <si>
    <t>BAJ3</t>
    <phoneticPr fontId="0" type="noConversion"/>
  </si>
  <si>
    <t>BAK3</t>
    <phoneticPr fontId="0" type="noConversion"/>
  </si>
  <si>
    <t>BAL3</t>
  </si>
  <si>
    <t xml:space="preserve"> 待针</t>
  </si>
  <si>
    <t>chờ kim</t>
  </si>
  <si>
    <t>待0K</t>
  </si>
  <si>
    <t>chờ ok vải</t>
  </si>
  <si>
    <t>修机</t>
  </si>
  <si>
    <t>sủa chữa máy</t>
  </si>
  <si>
    <t>BAC4</t>
    <phoneticPr fontId="0" type="noConversion"/>
  </si>
  <si>
    <t>BAD4</t>
    <phoneticPr fontId="0" type="noConversion"/>
  </si>
  <si>
    <t>BAE4</t>
    <phoneticPr fontId="0" type="noConversion"/>
  </si>
  <si>
    <t>BAF4</t>
    <phoneticPr fontId="0" type="noConversion"/>
  </si>
  <si>
    <t>BAG4</t>
    <phoneticPr fontId="0" type="noConversion"/>
  </si>
  <si>
    <t>BAH4</t>
    <phoneticPr fontId="0" type="noConversion"/>
  </si>
  <si>
    <t>BAI4</t>
    <phoneticPr fontId="0" type="noConversion"/>
  </si>
  <si>
    <t>BAJ4</t>
    <phoneticPr fontId="0" type="noConversion"/>
  </si>
  <si>
    <t>BAK4</t>
    <phoneticPr fontId="0" type="noConversion"/>
  </si>
  <si>
    <t>BAL4</t>
    <phoneticPr fontId="0" type="noConversion"/>
  </si>
  <si>
    <t>BAC5</t>
    <phoneticPr fontId="0" type="noConversion"/>
  </si>
  <si>
    <t>BAD5</t>
    <phoneticPr fontId="0" type="noConversion"/>
  </si>
  <si>
    <t>BAE5</t>
    <phoneticPr fontId="0" type="noConversion"/>
  </si>
  <si>
    <t>BAF5</t>
    <phoneticPr fontId="0" type="noConversion"/>
  </si>
  <si>
    <t>BAG5</t>
    <phoneticPr fontId="0" type="noConversion"/>
  </si>
  <si>
    <t>BAH5</t>
    <phoneticPr fontId="0" type="noConversion"/>
  </si>
  <si>
    <t>BAI5</t>
    <phoneticPr fontId="0" type="noConversion"/>
  </si>
  <si>
    <t>BAJ5</t>
    <phoneticPr fontId="0" type="noConversion"/>
  </si>
  <si>
    <t>BAK5</t>
    <phoneticPr fontId="0" type="noConversion"/>
  </si>
  <si>
    <t>BAL5</t>
    <phoneticPr fontId="0" type="noConversion"/>
  </si>
  <si>
    <t>ZN02320A05</t>
  </si>
  <si>
    <t>BZJS0030A01</t>
  </si>
  <si>
    <t>BAC6</t>
    <phoneticPr fontId="0" type="noConversion"/>
  </si>
  <si>
    <t>BAD6</t>
    <phoneticPr fontId="0" type="noConversion"/>
  </si>
  <si>
    <t>BAE6</t>
    <phoneticPr fontId="0" type="noConversion"/>
  </si>
  <si>
    <t>BAF6</t>
    <phoneticPr fontId="0" type="noConversion"/>
  </si>
  <si>
    <t>BAG6</t>
    <phoneticPr fontId="0" type="noConversion"/>
  </si>
  <si>
    <t>BAH6</t>
    <phoneticPr fontId="0" type="noConversion"/>
  </si>
  <si>
    <t>BAI6</t>
    <phoneticPr fontId="0" type="noConversion"/>
  </si>
  <si>
    <t>BAJ6</t>
    <phoneticPr fontId="0" type="noConversion"/>
  </si>
  <si>
    <t>BAK6</t>
    <phoneticPr fontId="0" type="noConversion"/>
  </si>
  <si>
    <t>BAL6</t>
    <phoneticPr fontId="0" type="noConversion"/>
  </si>
  <si>
    <t>28G34(2976)</t>
    <phoneticPr fontId="0" type="noConversion"/>
  </si>
  <si>
    <t>ZJ14150A01</t>
  </si>
  <si>
    <t>ZJ14224A01</t>
  </si>
  <si>
    <t>BAC7</t>
    <phoneticPr fontId="0" type="noConversion"/>
  </si>
  <si>
    <t>BAD7</t>
    <phoneticPr fontId="0" type="noConversion"/>
  </si>
  <si>
    <t>BAE7</t>
    <phoneticPr fontId="0" type="noConversion"/>
  </si>
  <si>
    <t>BAF7</t>
    <phoneticPr fontId="0" type="noConversion"/>
  </si>
  <si>
    <t>BAG7</t>
    <phoneticPr fontId="0" type="noConversion"/>
  </si>
  <si>
    <t>BAH7</t>
    <phoneticPr fontId="0" type="noConversion"/>
  </si>
  <si>
    <t>BAI7</t>
    <phoneticPr fontId="0" type="noConversion"/>
  </si>
  <si>
    <t>BAJ7</t>
    <phoneticPr fontId="0" type="noConversion"/>
  </si>
  <si>
    <t>BAK7</t>
    <phoneticPr fontId="0" type="noConversion"/>
  </si>
  <si>
    <t>BAL7</t>
    <phoneticPr fontId="0" type="noConversion"/>
  </si>
  <si>
    <t>ZJ14148A01</t>
  </si>
  <si>
    <t>BZJ14239A01</t>
  </si>
  <si>
    <t>BAC8</t>
    <phoneticPr fontId="0" type="noConversion"/>
  </si>
  <si>
    <t>BAD8</t>
    <phoneticPr fontId="0" type="noConversion"/>
  </si>
  <si>
    <t>BAE8</t>
    <phoneticPr fontId="0" type="noConversion"/>
  </si>
  <si>
    <t>BAF8</t>
    <phoneticPr fontId="0" type="noConversion"/>
  </si>
  <si>
    <t>BAG8</t>
    <phoneticPr fontId="0" type="noConversion"/>
  </si>
  <si>
    <t>BAH8</t>
    <phoneticPr fontId="0" type="noConversion"/>
  </si>
  <si>
    <t>BAI8</t>
    <phoneticPr fontId="0" type="noConversion"/>
  </si>
  <si>
    <t>BAJ8</t>
    <phoneticPr fontId="0" type="noConversion"/>
  </si>
  <si>
    <t>BAK8</t>
    <phoneticPr fontId="0" type="noConversion"/>
  </si>
  <si>
    <t>BAL8</t>
    <phoneticPr fontId="0" type="noConversion"/>
  </si>
  <si>
    <t>靠公司大门方向</t>
    <phoneticPr fontId="0" type="noConversion"/>
  </si>
  <si>
    <t>TOPT織廠C車間排機分布圖</t>
  </si>
  <si>
    <t>BOD03186A01</t>
  </si>
  <si>
    <t>M72</t>
    <phoneticPr fontId="0" type="noConversion"/>
  </si>
  <si>
    <t>CAC2</t>
    <phoneticPr fontId="0" type="noConversion"/>
  </si>
  <si>
    <t>CAD2</t>
    <phoneticPr fontId="0" type="noConversion"/>
  </si>
  <si>
    <t>CAE2</t>
    <phoneticPr fontId="0" type="noConversion"/>
  </si>
  <si>
    <t>CAF2</t>
    <phoneticPr fontId="0" type="noConversion"/>
  </si>
  <si>
    <t>CAG2</t>
    <phoneticPr fontId="0" type="noConversion"/>
  </si>
  <si>
    <t>CAH2</t>
    <phoneticPr fontId="0" type="noConversion"/>
  </si>
  <si>
    <t>CAI2</t>
    <phoneticPr fontId="0" type="noConversion"/>
  </si>
  <si>
    <t>CAJ2</t>
    <phoneticPr fontId="0" type="noConversion"/>
  </si>
  <si>
    <t>CAK2</t>
    <phoneticPr fontId="0" type="noConversion"/>
  </si>
  <si>
    <t>CAL2</t>
    <phoneticPr fontId="0" type="noConversion"/>
  </si>
  <si>
    <t>28G34(2976)</t>
    <phoneticPr fontId="0" type="noConversion"/>
  </si>
  <si>
    <t>CAC3</t>
    <phoneticPr fontId="0" type="noConversion"/>
  </si>
  <si>
    <t>CAD3</t>
    <phoneticPr fontId="0" type="noConversion"/>
  </si>
  <si>
    <t>CAE3</t>
    <phoneticPr fontId="0" type="noConversion"/>
  </si>
  <si>
    <t>CAF3</t>
    <phoneticPr fontId="0" type="noConversion"/>
  </si>
  <si>
    <t>CAG3</t>
    <phoneticPr fontId="0" type="noConversion"/>
  </si>
  <si>
    <t>CAH3</t>
    <phoneticPr fontId="0" type="noConversion"/>
  </si>
  <si>
    <t>CAI3</t>
    <phoneticPr fontId="0" type="noConversion"/>
  </si>
  <si>
    <t>CAJ3</t>
    <phoneticPr fontId="0" type="noConversion"/>
  </si>
  <si>
    <t>CAK3</t>
    <phoneticPr fontId="0" type="noConversion"/>
  </si>
  <si>
    <t>CAL3</t>
    <phoneticPr fontId="0" type="noConversion"/>
  </si>
  <si>
    <t>CAC4</t>
    <phoneticPr fontId="0" type="noConversion"/>
  </si>
  <si>
    <t>CAD4</t>
    <phoneticPr fontId="0" type="noConversion"/>
  </si>
  <si>
    <t>CAE4</t>
    <phoneticPr fontId="0" type="noConversion"/>
  </si>
  <si>
    <t>CAF4</t>
    <phoneticPr fontId="0" type="noConversion"/>
  </si>
  <si>
    <t>CAG4</t>
    <phoneticPr fontId="0" type="noConversion"/>
  </si>
  <si>
    <t>CAH4</t>
    <phoneticPr fontId="0" type="noConversion"/>
  </si>
  <si>
    <t>CAI4</t>
    <phoneticPr fontId="0" type="noConversion"/>
  </si>
  <si>
    <t>CAJ4</t>
    <phoneticPr fontId="0" type="noConversion"/>
  </si>
  <si>
    <t>CAK4</t>
    <phoneticPr fontId="0" type="noConversion"/>
  </si>
  <si>
    <t>CAL4</t>
    <phoneticPr fontId="0" type="noConversion"/>
  </si>
  <si>
    <t>CAC5</t>
    <phoneticPr fontId="0" type="noConversion"/>
  </si>
  <si>
    <t>CAD5</t>
    <phoneticPr fontId="0" type="noConversion"/>
  </si>
  <si>
    <t>CAE5</t>
    <phoneticPr fontId="0" type="noConversion"/>
  </si>
  <si>
    <t>CAF5</t>
    <phoneticPr fontId="0" type="noConversion"/>
  </si>
  <si>
    <t>CAG5</t>
    <phoneticPr fontId="0" type="noConversion"/>
  </si>
  <si>
    <t>CAH5</t>
    <phoneticPr fontId="0" type="noConversion"/>
  </si>
  <si>
    <t>CAI5</t>
    <phoneticPr fontId="0" type="noConversion"/>
  </si>
  <si>
    <t>CAJ5</t>
    <phoneticPr fontId="0" type="noConversion"/>
  </si>
  <si>
    <t>CAK5</t>
    <phoneticPr fontId="0" type="noConversion"/>
  </si>
  <si>
    <t>CAL5</t>
    <phoneticPr fontId="0" type="noConversion"/>
  </si>
  <si>
    <t>BOR05890A18</t>
  </si>
  <si>
    <t>BZH00020A02</t>
  </si>
  <si>
    <t>M76</t>
    <phoneticPr fontId="0" type="noConversion"/>
  </si>
  <si>
    <t>CAC6</t>
    <phoneticPr fontId="0" type="noConversion"/>
  </si>
  <si>
    <t>CAD6</t>
    <phoneticPr fontId="0" type="noConversion"/>
  </si>
  <si>
    <t>CAE6</t>
    <phoneticPr fontId="0" type="noConversion"/>
  </si>
  <si>
    <t>CAF6</t>
    <phoneticPr fontId="0" type="noConversion"/>
  </si>
  <si>
    <t>CAG6</t>
    <phoneticPr fontId="0" type="noConversion"/>
  </si>
  <si>
    <t>B72</t>
    <phoneticPr fontId="0" type="noConversion"/>
  </si>
  <si>
    <t>CAH6</t>
    <phoneticPr fontId="0" type="noConversion"/>
  </si>
  <si>
    <t>CAI6</t>
    <phoneticPr fontId="0" type="noConversion"/>
  </si>
  <si>
    <t>CAJ6</t>
    <phoneticPr fontId="0" type="noConversion"/>
  </si>
  <si>
    <t>CAK6</t>
    <phoneticPr fontId="0" type="noConversion"/>
  </si>
  <si>
    <t>CAL6</t>
    <phoneticPr fontId="0" type="noConversion"/>
  </si>
  <si>
    <t>15G38(1860)</t>
    <phoneticPr fontId="0" type="noConversion"/>
  </si>
  <si>
    <t>24G34(2556)</t>
    <phoneticPr fontId="0" type="noConversion"/>
  </si>
  <si>
    <t>BOI02765A01</t>
  </si>
  <si>
    <t>BZH00027A02</t>
  </si>
  <si>
    <t>CAC7</t>
    <phoneticPr fontId="0" type="noConversion"/>
  </si>
  <si>
    <t>CAD7</t>
    <phoneticPr fontId="0" type="noConversion"/>
  </si>
  <si>
    <t>CAE7</t>
    <phoneticPr fontId="0" type="noConversion"/>
  </si>
  <si>
    <t>CAF7</t>
    <phoneticPr fontId="0" type="noConversion"/>
  </si>
  <si>
    <t>CAG7</t>
    <phoneticPr fontId="0" type="noConversion"/>
  </si>
  <si>
    <t>CAH7</t>
    <phoneticPr fontId="0" type="noConversion"/>
  </si>
  <si>
    <t>CAI7</t>
    <phoneticPr fontId="0" type="noConversion"/>
  </si>
  <si>
    <t>CAJ7</t>
    <phoneticPr fontId="0" type="noConversion"/>
  </si>
  <si>
    <t>CAK7</t>
    <phoneticPr fontId="0" type="noConversion"/>
  </si>
  <si>
    <t>CAL7</t>
    <phoneticPr fontId="0" type="noConversion"/>
  </si>
  <si>
    <t>BOIM0014A01</t>
  </si>
  <si>
    <t>CAC8</t>
    <phoneticPr fontId="0" type="noConversion"/>
  </si>
  <si>
    <t>CAD8</t>
    <phoneticPr fontId="0" type="noConversion"/>
  </si>
  <si>
    <t>CAE8</t>
    <phoneticPr fontId="0" type="noConversion"/>
  </si>
  <si>
    <t>CAF8</t>
    <phoneticPr fontId="0" type="noConversion"/>
  </si>
  <si>
    <t>CAG8</t>
    <phoneticPr fontId="0" type="noConversion"/>
  </si>
  <si>
    <t>CAH8</t>
    <phoneticPr fontId="0" type="noConversion"/>
  </si>
  <si>
    <t>CAI8</t>
    <phoneticPr fontId="0" type="noConversion"/>
  </si>
  <si>
    <t>CAJ8</t>
    <phoneticPr fontId="0" type="noConversion"/>
  </si>
  <si>
    <t>CAK8</t>
    <phoneticPr fontId="0" type="noConversion"/>
  </si>
  <si>
    <t>CAL8</t>
    <phoneticPr fontId="0" type="noConversion"/>
  </si>
  <si>
    <t>靠公司大门方向</t>
    <phoneticPr fontId="0" type="noConversion"/>
  </si>
  <si>
    <t>TOPT織廠D車間排機分布圖</t>
  </si>
  <si>
    <t>BZN02331A08</t>
  </si>
  <si>
    <t>BZN02320A08</t>
  </si>
  <si>
    <t>BZN02320A07</t>
  </si>
  <si>
    <t>H120</t>
  </si>
  <si>
    <t>DAC2</t>
  </si>
  <si>
    <t>DAD2</t>
  </si>
  <si>
    <t>DAE2</t>
  </si>
  <si>
    <t>DAF2</t>
  </si>
  <si>
    <t>DAG2</t>
  </si>
  <si>
    <t>DAH2</t>
  </si>
  <si>
    <t>DAI2</t>
  </si>
  <si>
    <t>M72</t>
  </si>
  <si>
    <t>DAJ2</t>
  </si>
  <si>
    <t>DAK2</t>
  </si>
  <si>
    <t>DAL2</t>
  </si>
  <si>
    <t>28G34(2976)</t>
  </si>
  <si>
    <t>32G34(3408)</t>
  </si>
  <si>
    <t xml:space="preserve">Không có đơn </t>
  </si>
  <si>
    <t>转单</t>
  </si>
  <si>
    <t xml:space="preserve">chuyển đơn </t>
  </si>
  <si>
    <t>DAC3</t>
  </si>
  <si>
    <t>DAD3</t>
  </si>
  <si>
    <t>DAE3</t>
  </si>
  <si>
    <t>DAF3</t>
  </si>
  <si>
    <t>DAG3</t>
  </si>
  <si>
    <t>DAH3</t>
  </si>
  <si>
    <t>DAI3</t>
  </si>
  <si>
    <t>DAJ3</t>
  </si>
  <si>
    <t>DAK3</t>
  </si>
  <si>
    <t>DAL3</t>
  </si>
  <si>
    <t>改转向</t>
  </si>
  <si>
    <t xml:space="preserve">đổi chiều </t>
  </si>
  <si>
    <t>洗机</t>
  </si>
  <si>
    <t xml:space="preserve">rửa máy </t>
  </si>
  <si>
    <t>转筒</t>
  </si>
  <si>
    <t xml:space="preserve">chuyển mâm </t>
  </si>
  <si>
    <t>BZN02331A06</t>
  </si>
  <si>
    <t>BZN02320A05</t>
  </si>
  <si>
    <t>开布头</t>
  </si>
  <si>
    <t xml:space="preserve">Xuống đầu vải </t>
  </si>
  <si>
    <t>DAC4</t>
  </si>
  <si>
    <t>DAD4</t>
  </si>
  <si>
    <t>DAE4</t>
  </si>
  <si>
    <t>DAF4</t>
  </si>
  <si>
    <t>DAG4</t>
  </si>
  <si>
    <t>DAH4</t>
  </si>
  <si>
    <t>DAI4</t>
  </si>
  <si>
    <t>DAJ4</t>
  </si>
  <si>
    <t>DAK4</t>
  </si>
  <si>
    <t>DAL4</t>
  </si>
  <si>
    <t>改纱长</t>
  </si>
  <si>
    <t xml:space="preserve">đổi dộ dài sợi </t>
  </si>
  <si>
    <t>较布面</t>
  </si>
  <si>
    <t xml:space="preserve">xuống mặt vải </t>
  </si>
  <si>
    <t xml:space="preserve">sửa máy </t>
  </si>
  <si>
    <t>起大牙</t>
  </si>
  <si>
    <t xml:space="preserve">bánh răng </t>
  </si>
  <si>
    <t>DAC5</t>
  </si>
  <si>
    <t>DAD5</t>
  </si>
  <si>
    <t>DAE5</t>
  </si>
  <si>
    <t>DAF5</t>
  </si>
  <si>
    <t>DAG5</t>
  </si>
  <si>
    <t>DAH5</t>
  </si>
  <si>
    <t>B72</t>
  </si>
  <si>
    <t>DAI5</t>
  </si>
  <si>
    <t>DAJ5</t>
  </si>
  <si>
    <t>DAK5</t>
  </si>
  <si>
    <t>DAL5</t>
  </si>
  <si>
    <t>BZN02340A02</t>
  </si>
  <si>
    <t>BZN02342A01</t>
  </si>
  <si>
    <t>ZN02331A08</t>
  </si>
  <si>
    <t>ZN02331A06</t>
  </si>
  <si>
    <t>DAC6</t>
  </si>
  <si>
    <t>DAD6</t>
  </si>
  <si>
    <t>DAE6</t>
  </si>
  <si>
    <t>DAF6</t>
  </si>
  <si>
    <t>DAG6</t>
  </si>
  <si>
    <t>DAH6</t>
  </si>
  <si>
    <t>DAI6</t>
  </si>
  <si>
    <t>DAJ6</t>
  </si>
  <si>
    <t>M96</t>
  </si>
  <si>
    <t>DAK6</t>
  </si>
  <si>
    <t>DAL6</t>
  </si>
  <si>
    <t>15G38(1860)</t>
  </si>
  <si>
    <t>DAC7</t>
  </si>
  <si>
    <t>DAD7</t>
  </si>
  <si>
    <t>DAE7</t>
  </si>
  <si>
    <t>DAF7</t>
  </si>
  <si>
    <t>DAG7</t>
  </si>
  <si>
    <t>DAH7</t>
  </si>
  <si>
    <t>DAI7</t>
  </si>
  <si>
    <t>DAJ7</t>
  </si>
  <si>
    <t>DAK7</t>
  </si>
  <si>
    <t>DAL7</t>
  </si>
  <si>
    <t>DAC8</t>
  </si>
  <si>
    <t>DAD8</t>
  </si>
  <si>
    <t>DAE8</t>
  </si>
  <si>
    <t>DAF8</t>
  </si>
  <si>
    <t>DAG8</t>
  </si>
  <si>
    <t>DAH8</t>
  </si>
  <si>
    <t>DAI8</t>
  </si>
  <si>
    <t>DAJ8</t>
  </si>
  <si>
    <t>DAK8</t>
  </si>
  <si>
    <t>DAL8</t>
  </si>
  <si>
    <t>共70台机</t>
  </si>
  <si>
    <r>
      <rPr>
        <b/>
        <sz val="24"/>
        <rFont val="微軟正黑體"/>
        <charset val="134"/>
      </rPr>
      <t>TOPT織廠</t>
    </r>
    <r>
      <rPr>
        <b/>
        <sz val="24"/>
        <rFont val="等线"/>
        <charset val="134"/>
      </rPr>
      <t>E</t>
    </r>
    <r>
      <rPr>
        <b/>
        <sz val="24"/>
        <rFont val="微軟正黑體"/>
        <charset val="134"/>
      </rPr>
      <t>車間排機分布圖</t>
    </r>
  </si>
  <si>
    <t>BZN02331A07</t>
  </si>
  <si>
    <t xml:space="preserve"> </t>
  </si>
  <si>
    <t>EAC2</t>
  </si>
  <si>
    <t>EAD2</t>
  </si>
  <si>
    <t>EAE2</t>
  </si>
  <si>
    <t>EAF2</t>
  </si>
  <si>
    <t>EAG2</t>
  </si>
  <si>
    <t>EAH2</t>
  </si>
  <si>
    <t>EAI2</t>
  </si>
  <si>
    <t>EAJ2</t>
  </si>
  <si>
    <t>EAK2</t>
  </si>
  <si>
    <t>EAL2</t>
  </si>
  <si>
    <t>EAC3</t>
  </si>
  <si>
    <t>EAD3</t>
  </si>
  <si>
    <t>EAE3</t>
  </si>
  <si>
    <t>EAF3</t>
  </si>
  <si>
    <t>EAG3</t>
  </si>
  <si>
    <t>EAH3</t>
  </si>
  <si>
    <t>EAI3</t>
  </si>
  <si>
    <t>EAK3</t>
  </si>
  <si>
    <t>EAL3</t>
  </si>
  <si>
    <t>EAC4</t>
  </si>
  <si>
    <t>EAD4</t>
  </si>
  <si>
    <t>EAE4</t>
  </si>
  <si>
    <t>EAF4</t>
  </si>
  <si>
    <t>EAG4</t>
  </si>
  <si>
    <t>EAH4</t>
  </si>
  <si>
    <t>EAI4</t>
  </si>
  <si>
    <t>EAJ4</t>
  </si>
  <si>
    <t>EAK4</t>
  </si>
  <si>
    <t>EAL4</t>
  </si>
  <si>
    <t>EAC5</t>
  </si>
  <si>
    <t>EAD5</t>
  </si>
  <si>
    <t>EAE5</t>
  </si>
  <si>
    <t>EAF5</t>
  </si>
  <si>
    <t>EAG5</t>
  </si>
  <si>
    <t>EAH5</t>
  </si>
  <si>
    <t>EAI5</t>
  </si>
  <si>
    <t>EAJ5</t>
  </si>
  <si>
    <t>EAK5</t>
  </si>
  <si>
    <t>EAL5</t>
  </si>
  <si>
    <t>EAC6</t>
  </si>
  <si>
    <t>EAD6</t>
  </si>
  <si>
    <t>EAE6</t>
  </si>
  <si>
    <t>EAF6</t>
  </si>
  <si>
    <t>EAG6</t>
  </si>
  <si>
    <t>EAH6</t>
  </si>
  <si>
    <t>EAI6</t>
  </si>
  <si>
    <t>EAJ6</t>
  </si>
  <si>
    <t>EAK6</t>
  </si>
  <si>
    <t>EAL6</t>
  </si>
  <si>
    <t>EAC7</t>
  </si>
  <si>
    <t>EAD7</t>
  </si>
  <si>
    <t>EAE7</t>
  </si>
  <si>
    <t>EAF7</t>
  </si>
  <si>
    <t>EAG7</t>
  </si>
  <si>
    <t>EAH7</t>
  </si>
  <si>
    <t>EAI7</t>
  </si>
  <si>
    <t>EAJ7</t>
  </si>
  <si>
    <t>EAK7</t>
  </si>
  <si>
    <t>EAL7</t>
  </si>
  <si>
    <t>EAC8</t>
  </si>
  <si>
    <t>EAD8</t>
  </si>
  <si>
    <t>EAE8</t>
  </si>
  <si>
    <t>EAF8</t>
  </si>
  <si>
    <t>EAG8</t>
  </si>
  <si>
    <t>EAH8</t>
  </si>
  <si>
    <t>EAI8</t>
  </si>
  <si>
    <t>EAJ8</t>
  </si>
  <si>
    <t>EAK8</t>
  </si>
  <si>
    <t>EAL8</t>
  </si>
  <si>
    <t>靠公司大门方向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</si>
</sst>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name val="微軟正黑體"/>
    </font>
    <font>
      <b/>
      <sz val="12"/>
      <color theme="1"/>
      <name val="微軟正黑體"/>
    </font>
    <font>
      <b/>
      <sz val="12"/>
      <color theme="1"/>
      <name val="Calibri"/>
      <family val="2"/>
      <scheme val="minor"/>
    </font>
    <font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rgb="FF00B050"/>
      <name val="微軟正黑體"/>
      <family val="2"/>
      <charset val="136"/>
    </font>
    <font>
      <sz val="12"/>
      <color indexed="10"/>
      <name val="微軟正黑體"/>
      <family val="2"/>
      <charset val="136"/>
    </font>
    <font>
      <sz val="11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</font>
    <font>
      <b/>
      <sz val="24"/>
      <name val="微軟正黑體"/>
      <charset val="136"/>
    </font>
    <font>
      <sz val="12"/>
      <name val="微軟正黑體"/>
      <charset val="136"/>
    </font>
    <font>
      <b/>
      <sz val="12"/>
      <name val="微軟正黑體"/>
      <charset val="136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微軟正黑體"/>
      <charset val="136"/>
    </font>
    <font>
      <sz val="11"/>
      <color rgb="FF92D050"/>
      <name val="Calibri"/>
      <family val="2"/>
      <scheme val="minor"/>
    </font>
    <font>
      <sz val="10.5"/>
      <color rgb="FF414141"/>
      <name val="Calibri"/>
      <family val="2"/>
      <scheme val="minor"/>
    </font>
    <font>
      <sz val="12"/>
      <color rgb="FF7030A0"/>
      <name val="微軟正黑體"/>
      <charset val="136"/>
    </font>
    <font>
      <sz val="12"/>
      <color rgb="FF92D050"/>
      <name val="微軟正黑體"/>
      <charset val="136"/>
    </font>
    <font>
      <b/>
      <sz val="12"/>
      <color theme="1"/>
      <name val="微軟正黑體"/>
      <charset val="136"/>
    </font>
    <font>
      <sz val="12"/>
      <color rgb="FF00B050"/>
      <name val="微軟正黑體"/>
      <charset val="136"/>
    </font>
    <font>
      <u/>
      <sz val="12"/>
      <name val="微軟正黑體"/>
      <charset val="136"/>
    </font>
    <font>
      <u/>
      <sz val="12"/>
      <color indexed="10"/>
      <name val="微軟正黑體"/>
      <charset val="136"/>
    </font>
    <font>
      <u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2"/>
      <color rgb="FF00B050"/>
      <name val="微軟正黑體"/>
      <charset val="136"/>
    </font>
    <font>
      <sz val="11"/>
      <color theme="5" tint="-0.249977111117893"/>
      <name val="Calibri"/>
      <family val="2"/>
      <scheme val="minor"/>
    </font>
    <font>
      <sz val="12"/>
      <color rgb="FFFF0000"/>
      <name val="微軟正黑體"/>
      <charset val="136"/>
    </font>
    <font>
      <b/>
      <u/>
      <sz val="12"/>
      <name val="微軟正黑體"/>
      <charset val="136"/>
    </font>
    <font>
      <b/>
      <u/>
      <sz val="12"/>
      <color rgb="FF00B050"/>
      <name val="微軟正黑體"/>
      <charset val="136"/>
    </font>
    <font>
      <b/>
      <u/>
      <sz val="11"/>
      <color theme="1"/>
      <name val="Calibri"/>
      <family val="2"/>
      <scheme val="minor"/>
    </font>
    <font>
      <sz val="12"/>
      <color theme="1"/>
      <name val="微軟正黑體"/>
      <charset val="136"/>
    </font>
    <font>
      <b/>
      <sz val="24"/>
      <name val="微軟正黑體"/>
      <charset val="134"/>
    </font>
    <font>
      <b/>
      <sz val="24"/>
      <name val="等线"/>
      <charset val="134"/>
    </font>
    <font>
      <sz val="12"/>
      <name val="微軟正黑體"/>
      <charset val="134"/>
    </font>
    <font>
      <b/>
      <sz val="12"/>
      <name val="微軟正黑體"/>
      <charset val="134"/>
    </font>
    <font>
      <sz val="12"/>
      <name val="微软雅黑"/>
      <charset val="134"/>
    </font>
    <font>
      <sz val="12"/>
      <color rgb="FF00B0F0"/>
      <name val="微軟正黑體"/>
      <charset val="134"/>
    </font>
    <font>
      <b/>
      <sz val="12"/>
      <name val="等线"/>
      <charset val="134"/>
    </font>
    <font>
      <b/>
      <sz val="12"/>
      <name val="Microsoft YaHei UI"/>
      <family val="2"/>
    </font>
    <font>
      <sz val="12"/>
      <name val="Microsoft YaHei UI"/>
      <family val="2"/>
    </font>
    <font>
      <sz val="12"/>
      <color theme="1"/>
      <name val="微軟正黑體"/>
      <charset val="134"/>
    </font>
    <font>
      <sz val="12"/>
      <color rgb="FFFF0000"/>
      <name val="微軟正黑體"/>
      <charset val="134"/>
    </font>
    <font>
      <sz val="12"/>
      <color rgb="FF00B050"/>
      <name val="微軟正黑體"/>
      <charset val="134"/>
    </font>
    <font>
      <sz val="12"/>
      <color rgb="FF7030A0"/>
      <name val="微軟正黑體"/>
      <charset val="134"/>
    </font>
    <font>
      <b/>
      <sz val="12"/>
      <color theme="1"/>
      <name val="微軟正黑體"/>
      <charset val="134"/>
    </font>
    <font>
      <sz val="12"/>
      <color indexed="10"/>
      <name val="微軟正黑體"/>
      <charset val="134"/>
    </font>
    <font>
      <sz val="12"/>
      <name val="等线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1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tted">
        <color rgb="FF080808"/>
      </right>
      <top style="medium">
        <color indexed="64"/>
      </top>
      <bottom/>
      <diagonal/>
    </border>
    <border>
      <left style="dotted">
        <color rgb="FF080808"/>
      </left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8"/>
      </left>
      <right style="dotted">
        <color rgb="FF080808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ck">
        <color indexed="8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dotted">
        <color rgb="FF080808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ashed">
        <color indexed="14"/>
      </right>
      <top/>
      <bottom style="dotted">
        <color rgb="FF080808"/>
      </bottom>
      <diagonal/>
    </border>
    <border>
      <left style="dashed">
        <color indexed="14"/>
      </left>
      <right style="hair">
        <color indexed="64"/>
      </right>
      <top/>
      <bottom style="dotted">
        <color rgb="FF080808"/>
      </bottom>
      <diagonal/>
    </border>
    <border>
      <left/>
      <right style="dashed">
        <color indexed="14"/>
      </right>
      <top/>
      <bottom style="dotted">
        <color rgb="FF080808"/>
      </bottom>
      <diagonal/>
    </border>
    <border>
      <left style="hair">
        <color indexed="64"/>
      </left>
      <right/>
      <top/>
      <bottom style="dotted">
        <color rgb="FF080808"/>
      </bottom>
      <diagonal/>
    </border>
    <border>
      <left/>
      <right style="medium">
        <color indexed="64"/>
      </right>
      <top/>
      <bottom style="dotted">
        <color rgb="FF080808"/>
      </bottom>
      <diagonal/>
    </border>
    <border>
      <left/>
      <right style="hair">
        <color indexed="64"/>
      </right>
      <top/>
      <bottom style="dotted">
        <color rgb="FF080808"/>
      </bottom>
      <diagonal/>
    </border>
    <border>
      <left style="dashed">
        <color indexed="14"/>
      </left>
      <right style="medium">
        <color indexed="64"/>
      </right>
      <top/>
      <bottom style="dotted">
        <color rgb="FF08080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rgb="FF080808"/>
      </top>
      <bottom/>
      <diagonal/>
    </border>
    <border>
      <left/>
      <right style="dotted">
        <color rgb="FF080808"/>
      </right>
      <top style="dotted">
        <color rgb="FF080808"/>
      </top>
      <bottom/>
      <diagonal/>
    </border>
    <border>
      <left style="hair">
        <color indexed="64"/>
      </left>
      <right/>
      <top style="dotted">
        <color rgb="FF080808"/>
      </top>
      <bottom/>
      <diagonal/>
    </border>
    <border>
      <left/>
      <right style="medium">
        <color indexed="64"/>
      </right>
      <top style="dotted">
        <color rgb="FF080808"/>
      </top>
      <bottom/>
      <diagonal/>
    </border>
    <border>
      <left style="medium">
        <color indexed="64"/>
      </left>
      <right style="hair">
        <color indexed="8"/>
      </right>
      <top/>
      <bottom/>
      <diagonal/>
    </border>
    <border>
      <left style="thick">
        <color indexed="8"/>
      </left>
      <right style="hair">
        <color indexed="64"/>
      </right>
      <top/>
      <bottom/>
      <diagonal/>
    </border>
    <border>
      <left style="dashed">
        <color indexed="14"/>
      </left>
      <right style="hair">
        <color indexed="64"/>
      </right>
      <top/>
      <bottom/>
      <diagonal/>
    </border>
    <border>
      <left/>
      <right style="dashed">
        <color indexed="14"/>
      </right>
      <top/>
      <bottom/>
      <diagonal/>
    </border>
    <border>
      <left/>
      <right style="dashed">
        <color indexed="8"/>
      </right>
      <top/>
      <bottom/>
      <diagonal/>
    </border>
    <border>
      <left style="dashed">
        <color indexed="14"/>
      </left>
      <right/>
      <top/>
      <bottom style="dotted">
        <color rgb="FF080808"/>
      </bottom>
      <diagonal/>
    </border>
    <border>
      <left style="hair">
        <color indexed="64"/>
      </left>
      <right style="dashed">
        <color indexed="14"/>
      </right>
      <top/>
      <bottom style="dotted">
        <color rgb="FF080808"/>
      </bottom>
      <diagonal/>
    </border>
    <border>
      <left style="hair">
        <color indexed="64"/>
      </left>
      <right style="dashed">
        <color indexed="1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dashed">
        <color indexed="14"/>
      </right>
      <top/>
      <bottom style="medium">
        <color indexed="64"/>
      </bottom>
      <diagonal/>
    </border>
    <border>
      <left style="dashed">
        <color indexed="1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ashed">
        <color indexed="14"/>
      </right>
      <top/>
      <bottom style="medium">
        <color indexed="64"/>
      </bottom>
      <diagonal/>
    </border>
    <border>
      <left/>
      <right style="dashed">
        <color indexed="1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dotted">
        <color rgb="FF080808"/>
      </right>
      <top/>
      <bottom style="medium">
        <color indexed="64"/>
      </bottom>
      <diagonal/>
    </border>
    <border>
      <left style="dashed">
        <color indexed="1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ashed">
        <color indexed="8"/>
      </right>
      <top style="medium">
        <color indexed="64"/>
      </top>
      <bottom/>
      <diagonal/>
    </border>
    <border>
      <left style="dashed">
        <color indexed="14"/>
      </left>
      <right style="dotted">
        <color rgb="FF080808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14"/>
      </right>
      <top style="medium">
        <color indexed="64"/>
      </top>
      <bottom/>
      <diagonal/>
    </border>
    <border>
      <left/>
      <right style="dashed">
        <color indexed="14"/>
      </right>
      <top style="medium">
        <color indexed="64"/>
      </top>
      <bottom/>
      <diagonal/>
    </border>
    <border>
      <left style="dotted">
        <color rgb="FF080808"/>
      </left>
      <right style="dashed">
        <color indexed="14"/>
      </right>
      <top style="medium">
        <color indexed="64"/>
      </top>
      <bottom/>
      <diagonal/>
    </border>
    <border>
      <left/>
      <right style="thick">
        <color indexed="8"/>
      </right>
      <top style="medium">
        <color indexed="64"/>
      </top>
      <bottom/>
      <diagonal/>
    </border>
    <border>
      <left style="dashed">
        <color indexed="14"/>
      </left>
      <right style="medium">
        <color indexed="64"/>
      </right>
      <top style="medium">
        <color indexed="64"/>
      </top>
      <bottom/>
      <diagonal/>
    </border>
    <border>
      <left/>
      <right style="dotted">
        <color rgb="FF080808"/>
      </right>
      <top/>
      <bottom style="dotted">
        <color rgb="FF080808"/>
      </bottom>
      <diagonal/>
    </border>
    <border>
      <left/>
      <right/>
      <top/>
      <bottom style="dotted">
        <color rgb="FF080808"/>
      </bottom>
      <diagonal/>
    </border>
    <border>
      <left style="dotted">
        <color rgb="FF080808"/>
      </left>
      <right/>
      <top style="dotted">
        <color rgb="FF080808"/>
      </top>
      <bottom/>
      <diagonal/>
    </border>
    <border>
      <left/>
      <right/>
      <top style="dotted">
        <color rgb="FF080808"/>
      </top>
      <bottom/>
      <diagonal/>
    </border>
    <border>
      <left style="medium">
        <color indexed="64"/>
      </left>
      <right style="dashed">
        <color indexed="14"/>
      </right>
      <top/>
      <bottom/>
      <diagonal/>
    </border>
    <border>
      <left style="dashed">
        <color indexed="14"/>
      </left>
      <right style="medium">
        <color indexed="64"/>
      </right>
      <top/>
      <bottom/>
      <diagonal/>
    </border>
    <border>
      <left style="thick">
        <color indexed="8"/>
      </left>
      <right/>
      <top/>
      <bottom/>
      <diagonal/>
    </border>
    <border>
      <left style="dotted">
        <color rgb="FF080808"/>
      </left>
      <right style="dashed">
        <color indexed="8"/>
      </right>
      <top/>
      <bottom/>
      <diagonal/>
    </border>
    <border>
      <left style="dotted">
        <color indexed="14"/>
      </left>
      <right style="hair">
        <color indexed="64"/>
      </right>
      <top/>
      <bottom/>
      <diagonal/>
    </border>
    <border>
      <left style="dashed">
        <color indexed="14"/>
      </left>
      <right/>
      <top/>
      <bottom style="medium">
        <color indexed="64"/>
      </bottom>
      <diagonal/>
    </border>
    <border>
      <left style="dotted">
        <color rgb="FF080808"/>
      </left>
      <right/>
      <top/>
      <bottom style="medium">
        <color indexed="64"/>
      </bottom>
      <diagonal/>
    </border>
    <border>
      <left/>
      <right/>
      <top/>
      <bottom style="thick">
        <color indexed="8"/>
      </bottom>
      <diagonal/>
    </border>
    <border>
      <left style="thick">
        <color indexed="64"/>
      </left>
      <right/>
      <top style="thick">
        <color indexed="8"/>
      </top>
      <bottom/>
      <diagonal/>
    </border>
    <border>
      <left/>
      <right style="dotted">
        <color indexed="64"/>
      </right>
      <top style="thick">
        <color indexed="8"/>
      </top>
      <bottom/>
      <diagonal/>
    </border>
    <border>
      <left/>
      <right style="dashed">
        <color indexed="8"/>
      </right>
      <top style="thick">
        <color indexed="64"/>
      </top>
      <bottom/>
      <diagonal/>
    </border>
    <border>
      <left style="dashed">
        <color indexed="14"/>
      </left>
      <right style="dotted">
        <color indexed="64"/>
      </right>
      <top style="thick">
        <color indexed="64"/>
      </top>
      <bottom/>
      <diagonal/>
    </border>
    <border>
      <left style="dashed">
        <color indexed="14"/>
      </left>
      <right style="thick">
        <color indexed="64"/>
      </right>
      <top style="thick">
        <color indexed="64"/>
      </top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 style="thick">
        <color indexed="8"/>
      </left>
      <right style="dotted">
        <color indexed="64"/>
      </right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 style="thick">
        <color indexed="8"/>
      </left>
      <right style="dotted">
        <color rgb="FF080808"/>
      </right>
      <top style="thick">
        <color indexed="8"/>
      </top>
      <bottom/>
      <diagonal/>
    </border>
    <border>
      <left/>
      <right style="dashed">
        <color indexed="8"/>
      </right>
      <top style="thick">
        <color indexed="8"/>
      </top>
      <bottom/>
      <diagonal/>
    </border>
    <border>
      <left style="dashed">
        <color indexed="14"/>
      </left>
      <right style="dotted">
        <color indexed="64"/>
      </right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dotted">
        <color rgb="FF080808"/>
      </bottom>
      <diagonal/>
    </border>
    <border>
      <left style="dotted">
        <color indexed="64"/>
      </left>
      <right/>
      <top/>
      <bottom style="dotted">
        <color rgb="FF080808"/>
      </bottom>
      <diagonal/>
    </border>
    <border>
      <left/>
      <right style="dotted">
        <color indexed="64"/>
      </right>
      <top/>
      <bottom style="dotted">
        <color rgb="FF080808"/>
      </bottom>
      <diagonal/>
    </border>
    <border>
      <left/>
      <right style="thick">
        <color indexed="64"/>
      </right>
      <top/>
      <bottom style="dotted">
        <color rgb="FF080808"/>
      </bottom>
      <diagonal/>
    </border>
    <border>
      <left style="thick">
        <color indexed="64"/>
      </left>
      <right style="dashed">
        <color indexed="8"/>
      </right>
      <top/>
      <bottom/>
      <diagonal/>
    </border>
    <border>
      <left style="dashed">
        <color indexed="14"/>
      </left>
      <right style="dotted">
        <color rgb="FF080808"/>
      </right>
      <top/>
      <bottom/>
      <diagonal/>
    </border>
    <border>
      <left style="dashed">
        <color indexed="14"/>
      </left>
      <right style="dotted">
        <color indexed="64"/>
      </right>
      <top/>
      <bottom/>
      <diagonal/>
    </border>
    <border>
      <left style="dashed">
        <color indexed="14"/>
      </left>
      <right style="thick">
        <color indexed="64"/>
      </right>
      <top/>
      <bottom/>
      <diagonal/>
    </border>
    <border>
      <left style="thick">
        <color indexed="8"/>
      </left>
      <right style="hair">
        <color indexed="8"/>
      </right>
      <top/>
      <bottom/>
      <diagonal/>
    </border>
    <border>
      <left style="thick">
        <color indexed="8"/>
      </left>
      <right style="dotted">
        <color indexed="64"/>
      </right>
      <top/>
      <bottom/>
      <diagonal/>
    </border>
    <border>
      <left style="hair">
        <color indexed="8"/>
      </left>
      <right style="dotted">
        <color indexed="64"/>
      </right>
      <top/>
      <bottom/>
      <diagonal/>
    </border>
    <border>
      <left/>
      <right style="hair">
        <color indexed="8"/>
      </right>
      <top/>
      <bottom/>
      <diagonal/>
    </border>
    <border>
      <left style="dashed">
        <color indexed="8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thick">
        <color indexed="64"/>
      </left>
      <right/>
      <top style="dotted">
        <color rgb="FF080808"/>
      </top>
      <bottom/>
      <diagonal/>
    </border>
    <border>
      <left/>
      <right style="dotted">
        <color indexed="64"/>
      </right>
      <top style="dotted">
        <color rgb="FF080808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dotted">
        <color indexed="64"/>
      </left>
      <right/>
      <top/>
      <bottom style="thick">
        <color indexed="64"/>
      </bottom>
      <diagonal/>
    </border>
    <border>
      <left/>
      <right style="dotted">
        <color indexed="64"/>
      </right>
      <top/>
      <bottom style="thick">
        <color indexed="64"/>
      </bottom>
      <diagonal/>
    </border>
    <border>
      <left/>
      <right style="thick">
        <color auto="1"/>
      </right>
      <top/>
      <bottom style="thick">
        <color indexed="64"/>
      </bottom>
      <diagonal/>
    </border>
    <border>
      <left style="thick">
        <color indexed="64"/>
      </left>
      <right style="dashed">
        <color indexed="14"/>
      </right>
      <top style="thick">
        <color indexed="8"/>
      </top>
      <bottom/>
      <diagonal/>
    </border>
    <border>
      <left/>
      <right style="dashed">
        <color indexed="14"/>
      </right>
      <top style="thick">
        <color indexed="8"/>
      </top>
      <bottom/>
      <diagonal/>
    </border>
    <border>
      <left/>
      <right style="thick">
        <color indexed="64"/>
      </right>
      <top style="thick">
        <color indexed="8"/>
      </top>
      <bottom/>
      <diagonal/>
    </border>
    <border>
      <left style="thick">
        <color indexed="64"/>
      </left>
      <right style="thick">
        <color rgb="FFFF0000"/>
      </right>
      <top/>
      <bottom/>
      <diagonal/>
    </border>
    <border>
      <left style="dotted">
        <color rgb="FF080808"/>
      </left>
      <right style="dashed">
        <color indexed="14"/>
      </right>
      <top style="thick">
        <color rgb="FFFF0000"/>
      </top>
      <bottom/>
      <diagonal/>
    </border>
    <border>
      <left style="dashed">
        <color indexed="14"/>
      </left>
      <right style="dotted">
        <color rgb="FF080808"/>
      </right>
      <top style="thick">
        <color rgb="FFFF0000"/>
      </top>
      <bottom/>
      <diagonal/>
    </border>
    <border>
      <left style="dotted">
        <color rgb="FF080808"/>
      </left>
      <right style="thick">
        <color indexed="8"/>
      </right>
      <top style="thick">
        <color rgb="FFFF0000"/>
      </top>
      <bottom/>
      <diagonal/>
    </border>
    <border>
      <left style="dashed">
        <color indexed="14"/>
      </left>
      <right style="thick">
        <color rgb="FFFF0000"/>
      </right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 style="thick">
        <color indexed="8"/>
      </left>
      <right/>
      <top/>
      <bottom style="dotted">
        <color rgb="FF080808"/>
      </bottom>
      <diagonal/>
    </border>
    <border>
      <left style="thick">
        <color indexed="8"/>
      </left>
      <right style="dotted">
        <color indexed="64"/>
      </right>
      <top/>
      <bottom style="dotted">
        <color rgb="FF080808"/>
      </bottom>
      <diagonal/>
    </border>
    <border>
      <left/>
      <right style="thick">
        <color rgb="FFFF0000"/>
      </right>
      <top/>
      <bottom style="dotted">
        <color rgb="FF080808"/>
      </bottom>
      <diagonal/>
    </border>
    <border>
      <left style="thick">
        <color indexed="64"/>
      </left>
      <right style="dashed">
        <color indexed="14"/>
      </right>
      <top/>
      <bottom/>
      <diagonal/>
    </border>
    <border>
      <left style="dashed">
        <color indexed="14"/>
      </left>
      <right style="thick">
        <color rgb="FFFF0000"/>
      </right>
      <top/>
      <bottom/>
      <diagonal/>
    </border>
    <border>
      <left/>
      <right style="dashed">
        <color indexed="14"/>
      </right>
      <top/>
      <bottom style="thick">
        <color rgb="FFFF0000"/>
      </bottom>
      <diagonal/>
    </border>
    <border>
      <left style="thick">
        <color indexed="8"/>
      </left>
      <right style="dotted">
        <color indexed="64"/>
      </right>
      <top/>
      <bottom style="thick">
        <color rgb="FFFF0000"/>
      </bottom>
      <diagonal/>
    </border>
    <border>
      <left style="thick">
        <color indexed="8"/>
      </left>
      <right style="dashed">
        <color indexed="14"/>
      </right>
      <top/>
      <bottom/>
      <diagonal/>
    </border>
    <border>
      <left style="dotted">
        <color indexed="14"/>
      </left>
      <right style="dotted">
        <color indexed="64"/>
      </right>
      <top/>
      <bottom/>
      <diagonal/>
    </border>
    <border>
      <left style="thick">
        <color indexed="8"/>
      </left>
      <right style="thick">
        <color rgb="FFFF0000"/>
      </right>
      <top/>
      <bottom/>
      <diagonal/>
    </border>
    <border>
      <left style="thick">
        <color indexed="8"/>
      </left>
      <right/>
      <top/>
      <bottom style="thick">
        <color indexed="64"/>
      </bottom>
      <diagonal/>
    </border>
    <border>
      <left/>
      <right style="thick">
        <color rgb="FFFF0000"/>
      </right>
      <top/>
      <bottom style="thick">
        <color indexed="64"/>
      </bottom>
      <diagonal/>
    </border>
    <border>
      <left/>
      <right/>
      <top/>
      <bottom style="thick">
        <color rgb="FFFF0000"/>
      </bottom>
      <diagonal/>
    </border>
    <border>
      <left/>
      <right style="dotted">
        <color indexed="64"/>
      </right>
      <top/>
      <bottom style="thick">
        <color rgb="FFFF0000"/>
      </bottom>
      <diagonal/>
    </border>
    <border>
      <left style="dotted">
        <color indexed="64"/>
      </left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/>
      <right style="dotted">
        <color auto="1"/>
      </right>
      <top style="medium">
        <color auto="1"/>
      </top>
      <bottom/>
      <diagonal/>
    </border>
    <border>
      <left style="dotted">
        <color indexed="64"/>
      </left>
      <right/>
      <top style="medium">
        <color auto="1"/>
      </top>
      <bottom/>
      <diagonal/>
    </border>
    <border>
      <left style="dotted">
        <color rgb="FF080808"/>
      </left>
      <right/>
      <top/>
      <bottom/>
      <diagonal/>
    </border>
    <border>
      <left style="dotted">
        <color auto="1"/>
      </left>
      <right style="dashed">
        <color indexed="14"/>
      </right>
      <top/>
      <bottom style="dotted">
        <color rgb="FF080808"/>
      </bottom>
      <diagonal/>
    </border>
    <border>
      <left style="dashed">
        <color indexed="14"/>
      </left>
      <right style="dotted">
        <color auto="1"/>
      </right>
      <top/>
      <bottom style="dotted">
        <color rgb="FF080808"/>
      </bottom>
      <diagonal/>
    </border>
    <border>
      <left/>
      <right style="dashed">
        <color indexed="14"/>
      </right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 style="dotted">
        <color indexed="64"/>
      </left>
      <right/>
      <top style="dotted">
        <color rgb="FF080808"/>
      </top>
      <bottom/>
      <diagonal/>
    </border>
    <border>
      <left style="medium">
        <color auto="1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dotted">
        <color auto="1"/>
      </left>
      <right style="dashed">
        <color indexed="14"/>
      </right>
      <top/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/>
      <diagonal/>
    </border>
    <border>
      <left style="dashed">
        <color indexed="14"/>
      </left>
      <right style="dotted">
        <color auto="1"/>
      </right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thick">
        <color indexed="8"/>
      </left>
      <right style="dotted">
        <color rgb="FF080808"/>
      </right>
      <top/>
      <bottom/>
      <diagonal/>
    </border>
    <border>
      <left style="dotted">
        <color rgb="FF080808"/>
      </left>
      <right style="dashed">
        <color indexed="14"/>
      </right>
      <top/>
      <bottom/>
      <diagonal/>
    </border>
    <border>
      <left style="dashed">
        <color indexed="14"/>
      </left>
      <right style="dotted">
        <color rgb="FF080808"/>
      </right>
      <top style="thick">
        <color indexed="8"/>
      </top>
      <bottom/>
      <diagonal/>
    </border>
    <border>
      <left style="dashed">
        <color indexed="14"/>
      </left>
      <right style="thick">
        <color indexed="8"/>
      </right>
      <top style="thick">
        <color indexed="8"/>
      </top>
      <bottom/>
      <diagonal/>
    </border>
    <border>
      <left/>
      <right/>
      <top/>
      <bottom style="dotted">
        <color auto="1"/>
      </bottom>
      <diagonal/>
    </border>
    <border>
      <left style="dotted">
        <color auto="1"/>
      </left>
      <right style="dashed">
        <color indexed="14"/>
      </right>
      <top/>
      <bottom style="dotted">
        <color auto="1"/>
      </bottom>
      <diagonal/>
    </border>
    <border>
      <left/>
      <right style="thick">
        <color rgb="FFFF0000"/>
      </right>
      <top/>
      <bottom style="dotted">
        <color auto="1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ashed">
        <color indexed="8"/>
      </right>
      <top style="dotted">
        <color rgb="FF080808"/>
      </top>
      <bottom/>
      <diagonal/>
    </border>
    <border>
      <left style="dotted">
        <color auto="1"/>
      </left>
      <right style="dashed">
        <color indexed="8"/>
      </right>
      <top style="dotted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dotted">
        <color auto="1"/>
      </left>
      <right style="dashed">
        <color indexed="14"/>
      </right>
      <top/>
      <bottom style="thick">
        <color rgb="FFFF0000"/>
      </bottom>
      <diagonal/>
    </border>
    <border>
      <left style="thick">
        <color auto="1"/>
      </left>
      <right style="dashed">
        <color indexed="8"/>
      </right>
      <top style="thick">
        <color auto="1"/>
      </top>
      <bottom/>
      <diagonal/>
    </border>
    <border>
      <left style="dashed">
        <color indexed="14"/>
      </left>
      <right style="dotted">
        <color auto="1"/>
      </right>
      <top style="thick">
        <color auto="1"/>
      </top>
      <bottom/>
      <diagonal/>
    </border>
    <border>
      <left/>
      <right style="dashed">
        <color indexed="8"/>
      </right>
      <top style="thick">
        <color auto="1"/>
      </top>
      <bottom/>
      <diagonal/>
    </border>
    <border>
      <left style="dashed">
        <color indexed="14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dashed">
        <color indexed="14"/>
      </right>
      <top/>
      <bottom style="dotted">
        <color rgb="FF080808"/>
      </bottom>
      <diagonal/>
    </border>
    <border>
      <left style="dashed">
        <color indexed="14"/>
      </left>
      <right style="thick">
        <color auto="1"/>
      </right>
      <top/>
      <bottom style="dotted">
        <color rgb="FF080808"/>
      </bottom>
      <diagonal/>
    </border>
    <border>
      <left style="thick">
        <color auto="1"/>
      </left>
      <right style="dashed">
        <color indexed="8"/>
      </right>
      <top/>
      <bottom/>
      <diagonal/>
    </border>
    <border>
      <left style="dashed">
        <color indexed="14"/>
      </left>
      <right/>
      <top/>
      <bottom/>
      <diagonal/>
    </border>
    <border>
      <left style="dashed">
        <color indexed="14"/>
      </left>
      <right style="dotted">
        <color auto="1"/>
      </right>
      <top style="dotted">
        <color rgb="FF080808"/>
      </top>
      <bottom/>
      <diagonal/>
    </border>
    <border>
      <left style="thick">
        <color auto="1"/>
      </left>
      <right style="dashed">
        <color indexed="14"/>
      </right>
      <top/>
      <bottom style="thick">
        <color auto="1"/>
      </bottom>
      <diagonal/>
    </border>
    <border>
      <left style="dashed">
        <color indexed="14"/>
      </left>
      <right/>
      <top/>
      <bottom style="thick">
        <color auto="1"/>
      </bottom>
      <diagonal/>
    </border>
    <border>
      <left style="dotted">
        <color auto="1"/>
      </left>
      <right style="dashed">
        <color indexed="14"/>
      </right>
      <top/>
      <bottom style="thick">
        <color auto="1"/>
      </bottom>
      <diagonal/>
    </border>
    <border>
      <left style="dashed">
        <color indexed="14"/>
      </left>
      <right style="dotted">
        <color auto="1"/>
      </right>
      <top/>
      <bottom style="thick">
        <color auto="1"/>
      </bottom>
      <diagonal/>
    </border>
    <border>
      <left/>
      <right style="dashed">
        <color indexed="14"/>
      </right>
      <top/>
      <bottom style="thick">
        <color auto="1"/>
      </bottom>
      <diagonal/>
    </border>
    <border>
      <left style="dashed">
        <color indexed="14"/>
      </left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auto="1"/>
      </left>
      <right style="dashed">
        <color indexed="14"/>
      </right>
      <top style="thick">
        <color indexed="8"/>
      </top>
      <bottom/>
      <diagonal/>
    </border>
    <border>
      <left style="dotted">
        <color auto="1"/>
      </left>
      <right/>
      <top style="thick">
        <color indexed="8"/>
      </top>
      <bottom/>
      <diagonal/>
    </border>
    <border>
      <left/>
      <right style="dotted">
        <color rgb="FF080808"/>
      </right>
      <top style="thick">
        <color indexed="8"/>
      </top>
      <bottom/>
      <diagonal/>
    </border>
    <border>
      <left style="dotted">
        <color rgb="FF080808"/>
      </left>
      <right/>
      <top style="thick">
        <color indexed="8"/>
      </top>
      <bottom/>
      <diagonal/>
    </border>
    <border>
      <left/>
      <right style="thick">
        <color auto="1"/>
      </right>
      <top style="thick">
        <color indexed="8"/>
      </top>
      <bottom/>
      <diagonal/>
    </border>
    <border>
      <left style="dashed">
        <color indexed="14"/>
      </left>
      <right style="dotted">
        <color auto="1"/>
      </right>
      <top/>
      <bottom style="dotted">
        <color auto="1"/>
      </bottom>
      <diagonal/>
    </border>
    <border>
      <left style="thick">
        <color auto="1"/>
      </left>
      <right style="dashed">
        <color indexed="14"/>
      </right>
      <top/>
      <bottom/>
      <diagonal/>
    </border>
    <border>
      <left style="dashed">
        <color indexed="14"/>
      </left>
      <right style="thick">
        <color auto="1"/>
      </right>
      <top style="dotted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536">
    <xf numFmtId="0" fontId="0" fillId="0" borderId="0" xfId="0"/>
    <xf numFmtId="0" fontId="2" fillId="2" borderId="0" xfId="0" applyFont="1" applyFill="1" applyAlignment="1" applyProtection="1">
      <alignment horizontal="center" vertical="center"/>
    </xf>
    <xf numFmtId="0" fontId="0" fillId="0" borderId="0" xfId="0" applyProtection="1"/>
    <xf numFmtId="0" fontId="3" fillId="2" borderId="0" xfId="0" applyFont="1" applyFill="1" applyAlignment="1" applyProtection="1">
      <alignment horizontal="center"/>
    </xf>
    <xf numFmtId="164" fontId="4" fillId="2" borderId="0" xfId="0" applyNumberFormat="1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center" shrinkToFit="1"/>
    </xf>
    <xf numFmtId="14" fontId="3" fillId="2" borderId="0" xfId="0" applyNumberFormat="1" applyFont="1" applyFill="1" applyBorder="1" applyAlignment="1" applyProtection="1">
      <alignment horizontal="center"/>
    </xf>
    <xf numFmtId="0" fontId="5" fillId="3" borderId="1" xfId="0" applyFont="1" applyFill="1" applyBorder="1" applyAlignment="1" applyProtection="1">
      <alignment horizontal="center" vertical="center" shrinkToFit="1"/>
    </xf>
    <xf numFmtId="0" fontId="5" fillId="3" borderId="2" xfId="0" applyFont="1" applyFill="1" applyBorder="1" applyAlignment="1" applyProtection="1">
      <alignment horizontal="center" vertical="center" shrinkToFit="1"/>
    </xf>
    <xf numFmtId="0" fontId="5" fillId="3" borderId="3" xfId="0" applyFont="1" applyFill="1" applyBorder="1" applyAlignment="1" applyProtection="1">
      <alignment horizontal="center" vertical="center" shrinkToFit="1"/>
    </xf>
    <xf numFmtId="0" fontId="6" fillId="4" borderId="4" xfId="0" applyFont="1" applyFill="1" applyBorder="1" applyAlignment="1" applyProtection="1">
      <alignment horizontal="center" shrinkToFit="1"/>
    </xf>
    <xf numFmtId="0" fontId="6" fillId="4" borderId="2" xfId="0" applyFont="1" applyFill="1" applyBorder="1" applyAlignment="1" applyProtection="1">
      <alignment horizontal="center" shrinkToFit="1"/>
    </xf>
    <xf numFmtId="0" fontId="6" fillId="5" borderId="4" xfId="0" applyFont="1" applyFill="1" applyBorder="1" applyAlignment="1" applyProtection="1">
      <alignment horizontal="center" shrinkToFit="1"/>
    </xf>
    <xf numFmtId="0" fontId="6" fillId="5" borderId="2" xfId="0" applyFont="1" applyFill="1" applyBorder="1" applyAlignment="1" applyProtection="1">
      <alignment horizontal="center" shrinkToFit="1"/>
    </xf>
    <xf numFmtId="0" fontId="6" fillId="5" borderId="5" xfId="0" applyFont="1" applyFill="1" applyBorder="1" applyAlignment="1" applyProtection="1">
      <alignment horizontal="center" shrinkToFit="1"/>
    </xf>
    <xf numFmtId="0" fontId="3" fillId="2" borderId="1" xfId="0" applyFont="1" applyFill="1" applyBorder="1" applyAlignment="1" applyProtection="1">
      <alignment horizontal="center" shrinkToFit="1"/>
    </xf>
    <xf numFmtId="0" fontId="3" fillId="2" borderId="6" xfId="0" applyFont="1" applyFill="1" applyBorder="1" applyAlignment="1" applyProtection="1">
      <alignment horizontal="center" shrinkToFit="1"/>
    </xf>
    <xf numFmtId="0" fontId="5" fillId="3" borderId="7" xfId="0" applyFont="1" applyFill="1" applyBorder="1" applyAlignment="1" applyProtection="1">
      <alignment horizontal="center" vertical="center" shrinkToFit="1"/>
    </xf>
    <xf numFmtId="0" fontId="5" fillId="3" borderId="6" xfId="0" applyFont="1" applyFill="1" applyBorder="1" applyAlignment="1" applyProtection="1">
      <alignment horizontal="center" vertical="center" shrinkToFit="1"/>
    </xf>
    <xf numFmtId="0" fontId="5" fillId="3" borderId="8" xfId="0" applyFont="1" applyFill="1" applyBorder="1" applyAlignment="1" applyProtection="1">
      <alignment horizontal="center" vertical="center" shrinkToFit="1"/>
    </xf>
    <xf numFmtId="0" fontId="7" fillId="6" borderId="9" xfId="0" applyFont="1" applyFill="1" applyBorder="1" applyAlignment="1" applyProtection="1">
      <alignment horizontal="center" vertical="center"/>
    </xf>
    <xf numFmtId="0" fontId="4" fillId="2" borderId="10" xfId="0" applyFont="1" applyFill="1" applyBorder="1" applyAlignment="1" applyProtection="1">
      <alignment horizontal="center" shrinkToFit="1"/>
    </xf>
    <xf numFmtId="0" fontId="4" fillId="2" borderId="11" xfId="0" applyFont="1" applyFill="1" applyBorder="1" applyAlignment="1" applyProtection="1">
      <alignment horizontal="center" shrinkToFit="1"/>
    </xf>
    <xf numFmtId="0" fontId="4" fillId="2" borderId="0" xfId="0" applyFont="1" applyFill="1" applyBorder="1" applyAlignment="1" applyProtection="1">
      <alignment horizontal="center" shrinkToFit="1"/>
    </xf>
    <xf numFmtId="0" fontId="4" fillId="2" borderId="12" xfId="0" applyFont="1" applyFill="1" applyBorder="1" applyAlignment="1" applyProtection="1">
      <alignment horizontal="center" shrinkToFit="1"/>
    </xf>
    <xf numFmtId="0" fontId="4" fillId="2" borderId="13" xfId="0" applyFont="1" applyFill="1" applyBorder="1" applyAlignment="1" applyProtection="1">
      <alignment horizontal="center" shrinkToFit="1"/>
    </xf>
    <xf numFmtId="49" fontId="4" fillId="2" borderId="11" xfId="0" applyNumberFormat="1" applyFont="1" applyFill="1" applyBorder="1" applyAlignment="1" applyProtection="1">
      <alignment horizontal="center" shrinkToFit="1"/>
    </xf>
    <xf numFmtId="49" fontId="4" fillId="2" borderId="13" xfId="0" applyNumberFormat="1" applyFont="1" applyFill="1" applyBorder="1" applyAlignment="1" applyProtection="1">
      <alignment horizontal="center" shrinkToFit="1"/>
    </xf>
    <xf numFmtId="0" fontId="7" fillId="7" borderId="9" xfId="0" applyFont="1" applyFill="1" applyBorder="1" applyAlignment="1" applyProtection="1">
      <alignment horizontal="center" vertical="center"/>
    </xf>
    <xf numFmtId="0" fontId="4" fillId="2" borderId="10" xfId="0" applyFont="1" applyFill="1" applyBorder="1" applyAlignment="1" applyProtection="1">
      <alignment horizontal="center" vertical="center" shrinkToFit="1"/>
    </xf>
    <xf numFmtId="0" fontId="4" fillId="2" borderId="11" xfId="0" applyFont="1" applyFill="1" applyBorder="1" applyAlignment="1" applyProtection="1">
      <alignment horizontal="center" vertical="center" shrinkToFit="1"/>
    </xf>
    <xf numFmtId="0" fontId="3" fillId="2" borderId="14" xfId="0" applyFont="1" applyFill="1" applyBorder="1" applyAlignment="1" applyProtection="1">
      <alignment horizontal="center" shrinkToFit="1"/>
    </xf>
    <xf numFmtId="0" fontId="3" fillId="2" borderId="15" xfId="0" applyFont="1" applyFill="1" applyBorder="1" applyAlignment="1" applyProtection="1">
      <alignment horizontal="center" shrinkToFit="1"/>
    </xf>
    <xf numFmtId="0" fontId="3" fillId="2" borderId="16" xfId="0" applyFont="1" applyFill="1" applyBorder="1" applyAlignment="1" applyProtection="1">
      <alignment horizontal="center" shrinkToFit="1"/>
    </xf>
    <xf numFmtId="0" fontId="3" fillId="2" borderId="17" xfId="0" applyFont="1" applyFill="1" applyBorder="1" applyAlignment="1" applyProtection="1">
      <alignment horizontal="center" shrinkToFit="1"/>
    </xf>
    <xf numFmtId="0" fontId="3" fillId="2" borderId="18" xfId="0" applyFont="1" applyFill="1" applyBorder="1" applyAlignment="1" applyProtection="1">
      <alignment horizontal="center" shrinkToFit="1"/>
    </xf>
    <xf numFmtId="0" fontId="3" fillId="2" borderId="19" xfId="0" applyFont="1" applyFill="1" applyBorder="1" applyAlignment="1" applyProtection="1">
      <alignment horizontal="center" shrinkToFit="1"/>
    </xf>
    <xf numFmtId="0" fontId="3" fillId="2" borderId="20" xfId="0" applyFont="1" applyFill="1" applyBorder="1" applyAlignment="1" applyProtection="1">
      <alignment horizontal="center" shrinkToFit="1"/>
    </xf>
    <xf numFmtId="0" fontId="0" fillId="0" borderId="0" xfId="0" applyBorder="1" applyProtection="1"/>
    <xf numFmtId="0" fontId="0" fillId="0" borderId="21" xfId="0" applyBorder="1" applyAlignment="1" applyProtection="1">
      <alignment horizontal="center" vertical="center"/>
    </xf>
    <xf numFmtId="0" fontId="6" fillId="3" borderId="22" xfId="0" applyFont="1" applyFill="1" applyBorder="1" applyAlignment="1" applyProtection="1">
      <alignment horizontal="center" shrinkToFit="1"/>
    </xf>
    <xf numFmtId="0" fontId="6" fillId="3" borderId="23" xfId="0" applyFont="1" applyFill="1" applyBorder="1" applyAlignment="1" applyProtection="1">
      <alignment horizontal="center" shrinkToFit="1"/>
    </xf>
    <xf numFmtId="0" fontId="6" fillId="3" borderId="24" xfId="0" applyFont="1" applyFill="1" applyBorder="1" applyAlignment="1" applyProtection="1">
      <alignment horizontal="center" shrinkToFit="1"/>
    </xf>
    <xf numFmtId="0" fontId="6" fillId="4" borderId="24" xfId="0" applyFont="1" applyFill="1" applyBorder="1" applyAlignment="1" applyProtection="1">
      <alignment horizontal="center" shrinkToFit="1"/>
    </xf>
    <xf numFmtId="0" fontId="6" fillId="4" borderId="23" xfId="0" applyFont="1" applyFill="1" applyBorder="1" applyAlignment="1" applyProtection="1">
      <alignment horizontal="center" shrinkToFit="1"/>
    </xf>
    <xf numFmtId="0" fontId="6" fillId="5" borderId="24" xfId="0" applyFont="1" applyFill="1" applyBorder="1" applyAlignment="1" applyProtection="1">
      <alignment horizontal="center" shrinkToFit="1"/>
    </xf>
    <xf numFmtId="0" fontId="6" fillId="5" borderId="23" xfId="0" applyFont="1" applyFill="1" applyBorder="1" applyAlignment="1" applyProtection="1">
      <alignment horizontal="center" shrinkToFit="1"/>
    </xf>
    <xf numFmtId="0" fontId="6" fillId="5" borderId="25" xfId="0" applyFont="1" applyFill="1" applyBorder="1" applyAlignment="1" applyProtection="1">
      <alignment horizontal="center" shrinkToFit="1"/>
    </xf>
    <xf numFmtId="0" fontId="8" fillId="2" borderId="26" xfId="0" applyFont="1" applyFill="1" applyBorder="1" applyAlignment="1" applyProtection="1">
      <alignment horizontal="center" shrinkToFit="1"/>
    </xf>
    <xf numFmtId="0" fontId="8" fillId="2" borderId="27" xfId="0" applyFont="1" applyFill="1" applyBorder="1" applyAlignment="1" applyProtection="1">
      <alignment horizontal="center" shrinkToFit="1"/>
    </xf>
    <xf numFmtId="0" fontId="6" fillId="3" borderId="25" xfId="0" applyFont="1" applyFill="1" applyBorder="1" applyAlignment="1" applyProtection="1">
      <alignment horizontal="center" shrinkToFit="1"/>
    </xf>
    <xf numFmtId="49" fontId="9" fillId="2" borderId="11" xfId="0" applyNumberFormat="1" applyFont="1" applyFill="1" applyBorder="1" applyAlignment="1" applyProtection="1">
      <alignment horizontal="center" shrinkToFit="1"/>
    </xf>
    <xf numFmtId="0" fontId="9" fillId="2" borderId="13" xfId="0" applyFont="1" applyFill="1" applyBorder="1" applyAlignment="1" applyProtection="1">
      <alignment horizontal="center" shrinkToFit="1"/>
    </xf>
    <xf numFmtId="0" fontId="0" fillId="0" borderId="21" xfId="0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 shrinkToFit="1"/>
    </xf>
    <xf numFmtId="0" fontId="10" fillId="2" borderId="10" xfId="0" applyFont="1" applyFill="1" applyBorder="1" applyAlignment="1" applyProtection="1">
      <alignment horizontal="center" shrinkToFit="1"/>
    </xf>
    <xf numFmtId="0" fontId="10" fillId="2" borderId="28" xfId="0" applyFont="1" applyFill="1" applyBorder="1" applyAlignment="1" applyProtection="1">
      <alignment horizontal="center" shrinkToFit="1"/>
    </xf>
    <xf numFmtId="0" fontId="3" fillId="2" borderId="29" xfId="0" applyFont="1" applyFill="1" applyBorder="1" applyAlignment="1" applyProtection="1">
      <alignment horizontal="center" shrinkToFit="1"/>
    </xf>
    <xf numFmtId="0" fontId="3" fillId="2" borderId="11" xfId="0" applyFont="1" applyFill="1" applyBorder="1" applyAlignment="1" applyProtection="1">
      <alignment horizontal="center" shrinkToFit="1"/>
    </xf>
    <xf numFmtId="0" fontId="3" fillId="2" borderId="30" xfId="0" applyFont="1" applyFill="1" applyBorder="1" applyAlignment="1" applyProtection="1">
      <alignment horizontal="center" shrinkToFit="1"/>
    </xf>
    <xf numFmtId="0" fontId="3" fillId="2" borderId="28" xfId="0" applyFont="1" applyFill="1" applyBorder="1" applyAlignment="1" applyProtection="1">
      <alignment horizontal="center" shrinkToFit="1"/>
    </xf>
    <xf numFmtId="0" fontId="9" fillId="2" borderId="11" xfId="0" applyFont="1" applyFill="1" applyBorder="1" applyAlignment="1" applyProtection="1">
      <alignment horizontal="center" shrinkToFit="1"/>
    </xf>
    <xf numFmtId="0" fontId="4" fillId="2" borderId="0" xfId="0" applyFont="1" applyFill="1" applyBorder="1" applyAlignment="1" applyProtection="1">
      <alignment horizontal="center" vertical="center" shrinkToFit="1"/>
    </xf>
    <xf numFmtId="0" fontId="3" fillId="2" borderId="31" xfId="0" applyFont="1" applyFill="1" applyBorder="1" applyAlignment="1" applyProtection="1">
      <alignment horizontal="center" shrinkToFit="1"/>
    </xf>
    <xf numFmtId="0" fontId="3" fillId="2" borderId="32" xfId="0" applyFont="1" applyFill="1" applyBorder="1" applyAlignment="1" applyProtection="1">
      <alignment horizontal="center" shrinkToFit="1"/>
    </xf>
    <xf numFmtId="0" fontId="3" fillId="2" borderId="33" xfId="0" applyFont="1" applyFill="1" applyBorder="1" applyAlignment="1" applyProtection="1">
      <alignment horizontal="center" shrinkToFit="1"/>
    </xf>
    <xf numFmtId="0" fontId="6" fillId="4" borderId="34" xfId="0" applyFont="1" applyFill="1" applyBorder="1" applyAlignment="1" applyProtection="1">
      <alignment horizontal="center" shrinkToFit="1"/>
    </xf>
    <xf numFmtId="0" fontId="6" fillId="4" borderId="12" xfId="0" applyFont="1" applyFill="1" applyBorder="1" applyAlignment="1" applyProtection="1">
      <alignment horizontal="center" shrinkToFit="1"/>
    </xf>
    <xf numFmtId="0" fontId="8" fillId="2" borderId="10" xfId="0" applyFont="1" applyFill="1" applyBorder="1" applyAlignment="1" applyProtection="1">
      <alignment horizontal="center" shrinkToFit="1"/>
    </xf>
    <xf numFmtId="0" fontId="8" fillId="2" borderId="28" xfId="0" applyFont="1" applyFill="1" applyBorder="1" applyAlignment="1" applyProtection="1">
      <alignment horizontal="center" shrinkToFit="1"/>
    </xf>
    <xf numFmtId="0" fontId="11" fillId="2" borderId="0" xfId="0" applyFont="1" applyFill="1" applyBorder="1" applyAlignment="1" applyProtection="1">
      <alignment horizontal="center" shrinkToFit="1"/>
    </xf>
    <xf numFmtId="0" fontId="11" fillId="2" borderId="11" xfId="0" applyFont="1" applyFill="1" applyBorder="1" applyAlignment="1" applyProtection="1">
      <alignment horizontal="center" shrinkToFit="1"/>
    </xf>
    <xf numFmtId="0" fontId="0" fillId="0" borderId="0" xfId="0" applyFill="1" applyProtection="1"/>
    <xf numFmtId="0" fontId="3" fillId="2" borderId="35" xfId="0" applyFont="1" applyFill="1" applyBorder="1" applyAlignment="1" applyProtection="1">
      <alignment horizontal="center" shrinkToFit="1"/>
    </xf>
    <xf numFmtId="0" fontId="3" fillId="2" borderId="36" xfId="0" applyFont="1" applyFill="1" applyBorder="1" applyAlignment="1" applyProtection="1">
      <alignment horizontal="center" shrinkToFit="1"/>
    </xf>
    <xf numFmtId="0" fontId="3" fillId="2" borderId="37" xfId="0" applyFont="1" applyFill="1" applyBorder="1" applyAlignment="1" applyProtection="1">
      <alignment horizontal="center" shrinkToFit="1"/>
    </xf>
    <xf numFmtId="0" fontId="3" fillId="2" borderId="38" xfId="0" applyFont="1" applyFill="1" applyBorder="1" applyAlignment="1" applyProtection="1">
      <alignment horizontal="center" shrinkToFit="1"/>
    </xf>
    <xf numFmtId="0" fontId="3" fillId="2" borderId="39" xfId="0" applyFont="1" applyFill="1" applyBorder="1" applyAlignment="1" applyProtection="1">
      <alignment horizontal="center" shrinkToFit="1"/>
    </xf>
    <xf numFmtId="0" fontId="3" fillId="2" borderId="40" xfId="0" applyFont="1" applyFill="1" applyBorder="1" applyAlignment="1" applyProtection="1">
      <alignment horizontal="center" shrinkToFit="1"/>
    </xf>
    <xf numFmtId="0" fontId="3" fillId="2" borderId="41" xfId="0" applyFont="1" applyFill="1" applyBorder="1" applyAlignment="1" applyProtection="1">
      <alignment horizontal="center" shrinkToFit="1"/>
    </xf>
    <xf numFmtId="0" fontId="3" fillId="2" borderId="42" xfId="0" applyFont="1" applyFill="1" applyBorder="1" applyAlignment="1" applyProtection="1">
      <alignment horizontal="center" shrinkToFit="1"/>
    </xf>
    <xf numFmtId="0" fontId="3" fillId="2" borderId="43" xfId="0" applyFont="1" applyFill="1" applyBorder="1" applyAlignment="1" applyProtection="1">
      <alignment horizontal="center" shrinkToFit="1"/>
    </xf>
    <xf numFmtId="0" fontId="3" fillId="2" borderId="0" xfId="0" applyFont="1" applyFill="1" applyBorder="1" applyAlignment="1" applyProtection="1">
      <alignment horizontal="center" shrinkToFit="1"/>
    </xf>
    <xf numFmtId="0" fontId="3" fillId="2" borderId="44" xfId="0" applyFont="1" applyFill="1" applyBorder="1" applyAlignment="1" applyProtection="1">
      <alignment horizontal="center" shrinkToFit="1"/>
    </xf>
    <xf numFmtId="0" fontId="6" fillId="8" borderId="1" xfId="0" applyFont="1" applyFill="1" applyBorder="1" applyAlignment="1" applyProtection="1">
      <alignment horizontal="center" shrinkToFit="1"/>
    </xf>
    <xf numFmtId="0" fontId="6" fillId="8" borderId="2" xfId="0" applyFont="1" applyFill="1" applyBorder="1" applyAlignment="1" applyProtection="1">
      <alignment horizontal="center" shrinkToFit="1"/>
    </xf>
    <xf numFmtId="0" fontId="3" fillId="2" borderId="45" xfId="0" applyFont="1" applyFill="1" applyBorder="1" applyAlignment="1" applyProtection="1">
      <alignment horizontal="center" shrinkToFit="1"/>
    </xf>
    <xf numFmtId="0" fontId="3" fillId="2" borderId="46" xfId="0" applyFont="1" applyFill="1" applyBorder="1" applyAlignment="1" applyProtection="1">
      <alignment horizontal="center" shrinkToFit="1"/>
    </xf>
    <xf numFmtId="0" fontId="3" fillId="2" borderId="2" xfId="0" applyFont="1" applyFill="1" applyBorder="1" applyAlignment="1" applyProtection="1">
      <alignment horizontal="center" shrinkToFit="1"/>
    </xf>
    <xf numFmtId="0" fontId="3" fillId="2" borderId="47" xfId="0" applyFont="1" applyFill="1" applyBorder="1" applyAlignment="1" applyProtection="1">
      <alignment horizontal="center" shrinkToFit="1"/>
    </xf>
    <xf numFmtId="0" fontId="3" fillId="2" borderId="7" xfId="0" applyFont="1" applyFill="1" applyBorder="1" applyAlignment="1" applyProtection="1">
      <alignment horizontal="center" shrinkToFit="1"/>
    </xf>
    <xf numFmtId="0" fontId="3" fillId="2" borderId="5" xfId="0" applyFont="1" applyFill="1" applyBorder="1" applyAlignment="1" applyProtection="1">
      <alignment horizontal="center" shrinkToFit="1"/>
    </xf>
    <xf numFmtId="0" fontId="3" fillId="2" borderId="0" xfId="0" applyFont="1" applyFill="1" applyAlignment="1" applyProtection="1">
      <alignment horizontal="center" shrinkToFit="1"/>
    </xf>
    <xf numFmtId="0" fontId="10" fillId="2" borderId="48" xfId="0" applyFont="1" applyFill="1" applyBorder="1" applyAlignment="1" applyProtection="1">
      <alignment horizontal="center" shrinkToFit="1"/>
    </xf>
    <xf numFmtId="0" fontId="10" fillId="2" borderId="6" xfId="0" applyFont="1" applyFill="1" applyBorder="1" applyAlignment="1" applyProtection="1">
      <alignment horizontal="center" shrinkToFit="1"/>
    </xf>
    <xf numFmtId="0" fontId="3" fillId="2" borderId="49" xfId="0" applyFont="1" applyFill="1" applyBorder="1" applyAlignment="1" applyProtection="1">
      <alignment horizontal="center" shrinkToFit="1"/>
    </xf>
    <xf numFmtId="0" fontId="3" fillId="2" borderId="50" xfId="0" applyFont="1" applyFill="1" applyBorder="1" applyAlignment="1" applyProtection="1">
      <alignment horizontal="center" shrinkToFit="1"/>
    </xf>
    <xf numFmtId="0" fontId="3" fillId="2" borderId="51" xfId="0" applyFont="1" applyFill="1" applyBorder="1" applyAlignment="1" applyProtection="1">
      <alignment horizontal="center" shrinkToFit="1"/>
    </xf>
    <xf numFmtId="0" fontId="3" fillId="2" borderId="52" xfId="0" applyFont="1" applyFill="1" applyBorder="1" applyAlignment="1" applyProtection="1">
      <alignment horizontal="center" shrinkToFit="1"/>
    </xf>
    <xf numFmtId="0" fontId="3" fillId="2" borderId="0" xfId="0" applyFont="1" applyFill="1" applyBorder="1" applyAlignment="1" applyProtection="1">
      <alignment horizontal="center" vertical="center" shrinkToFit="1"/>
    </xf>
    <xf numFmtId="0" fontId="3" fillId="2" borderId="53" xfId="0" applyFont="1" applyFill="1" applyBorder="1" applyAlignment="1" applyProtection="1">
      <alignment horizontal="center" shrinkToFit="1"/>
    </xf>
    <xf numFmtId="0" fontId="3" fillId="2" borderId="54" xfId="0" applyFont="1" applyFill="1" applyBorder="1" applyAlignment="1" applyProtection="1">
      <alignment horizontal="center" shrinkToFit="1"/>
    </xf>
    <xf numFmtId="0" fontId="5" fillId="2" borderId="55" xfId="0" applyFont="1" applyFill="1" applyBorder="1" applyAlignment="1" applyProtection="1">
      <alignment horizontal="center" shrinkToFit="1"/>
    </xf>
    <xf numFmtId="0" fontId="5" fillId="2" borderId="23" xfId="0" applyFont="1" applyFill="1" applyBorder="1" applyAlignment="1" applyProtection="1">
      <alignment horizontal="center" shrinkToFit="1"/>
    </xf>
    <xf numFmtId="0" fontId="6" fillId="2" borderId="29" xfId="0" applyFont="1" applyFill="1" applyBorder="1" applyAlignment="1" applyProtection="1">
      <alignment horizontal="center" shrinkToFit="1"/>
    </xf>
    <xf numFmtId="0" fontId="6" fillId="2" borderId="27" xfId="0" applyFont="1" applyFill="1" applyBorder="1" applyAlignment="1" applyProtection="1">
      <alignment horizontal="center" shrinkToFit="1"/>
    </xf>
    <xf numFmtId="0" fontId="3" fillId="2" borderId="56" xfId="0" applyFont="1" applyFill="1" applyBorder="1" applyAlignment="1" applyProtection="1">
      <alignment horizontal="center" shrinkToFit="1"/>
    </xf>
    <xf numFmtId="0" fontId="3" fillId="2" borderId="25" xfId="0" applyFont="1" applyFill="1" applyBorder="1" applyAlignment="1" applyProtection="1">
      <alignment horizontal="center" shrinkToFit="1"/>
    </xf>
    <xf numFmtId="0" fontId="10" fillId="2" borderId="57" xfId="0" applyFont="1" applyFill="1" applyBorder="1" applyAlignment="1" applyProtection="1">
      <alignment horizontal="center" shrinkToFit="1"/>
    </xf>
    <xf numFmtId="0" fontId="10" fillId="2" borderId="27" xfId="0" applyFont="1" applyFill="1" applyBorder="1" applyAlignment="1" applyProtection="1">
      <alignment horizontal="center" shrinkToFit="1"/>
    </xf>
    <xf numFmtId="0" fontId="3" fillId="2" borderId="58" xfId="0" applyFont="1" applyFill="1" applyBorder="1" applyAlignment="1" applyProtection="1">
      <alignment horizontal="center" shrinkToFit="1"/>
    </xf>
    <xf numFmtId="0" fontId="6" fillId="8" borderId="57" xfId="0" applyFont="1" applyFill="1" applyBorder="1" applyAlignment="1" applyProtection="1">
      <alignment horizontal="center" shrinkToFit="1"/>
    </xf>
    <xf numFmtId="0" fontId="6" fillId="8" borderId="59" xfId="0" applyFont="1" applyFill="1" applyBorder="1" applyAlignment="1" applyProtection="1">
      <alignment horizontal="center" shrinkToFit="1"/>
    </xf>
    <xf numFmtId="0" fontId="12" fillId="2" borderId="60" xfId="0" applyFont="1" applyFill="1" applyBorder="1" applyAlignment="1" applyProtection="1">
      <alignment horizontal="center" shrinkToFit="1"/>
    </xf>
    <xf numFmtId="0" fontId="12" fillId="2" borderId="11" xfId="0" applyFont="1" applyFill="1" applyBorder="1" applyAlignment="1" applyProtection="1">
      <alignment horizontal="center" shrinkToFit="1"/>
    </xf>
    <xf numFmtId="0" fontId="3" fillId="2" borderId="61" xfId="0" applyFont="1" applyFill="1" applyBorder="1" applyAlignment="1" applyProtection="1">
      <alignment horizontal="center" shrinkToFit="1"/>
    </xf>
    <xf numFmtId="0" fontId="3" fillId="2" borderId="62" xfId="0" applyFont="1" applyFill="1" applyBorder="1" applyAlignment="1" applyProtection="1">
      <alignment horizontal="center" shrinkToFit="1"/>
    </xf>
    <xf numFmtId="0" fontId="3" fillId="2" borderId="63" xfId="0" applyFont="1" applyFill="1" applyBorder="1" applyAlignment="1" applyProtection="1">
      <alignment horizontal="center" shrinkToFit="1"/>
    </xf>
    <xf numFmtId="0" fontId="0" fillId="0" borderId="0" xfId="0" applyBorder="1" applyAlignment="1" applyProtection="1">
      <alignment horizontal="center"/>
    </xf>
    <xf numFmtId="14" fontId="3" fillId="2" borderId="64" xfId="0" applyNumberFormat="1" applyFont="1" applyFill="1" applyBorder="1" applyAlignment="1" applyProtection="1">
      <alignment horizontal="center"/>
    </xf>
    <xf numFmtId="0" fontId="13" fillId="2" borderId="65" xfId="0" applyFont="1" applyFill="1" applyBorder="1" applyAlignment="1" applyProtection="1">
      <alignment horizontal="center" vertical="center" shrinkToFit="1"/>
    </xf>
    <xf numFmtId="0" fontId="13" fillId="2" borderId="66" xfId="0" applyFont="1" applyFill="1" applyBorder="1" applyAlignment="1" applyProtection="1">
      <alignment horizontal="center" vertical="center" shrinkToFit="1"/>
    </xf>
    <xf numFmtId="0" fontId="8" fillId="2" borderId="67" xfId="0" applyFont="1" applyFill="1" applyBorder="1" applyAlignment="1" applyProtection="1">
      <alignment horizontal="center" vertical="center" shrinkToFit="1"/>
    </xf>
    <xf numFmtId="0" fontId="8" fillId="2" borderId="68" xfId="0" applyFont="1" applyFill="1" applyBorder="1" applyAlignment="1" applyProtection="1">
      <alignment horizontal="center" vertical="center" shrinkToFit="1"/>
    </xf>
    <xf numFmtId="0" fontId="8" fillId="2" borderId="69" xfId="0" applyFont="1" applyFill="1" applyBorder="1" applyAlignment="1" applyProtection="1">
      <alignment horizontal="center" vertical="center" shrinkToFit="1"/>
    </xf>
    <xf numFmtId="0" fontId="14" fillId="2" borderId="70" xfId="0" applyFont="1" applyFill="1" applyBorder="1" applyAlignment="1" applyProtection="1">
      <alignment horizontal="center" shrinkToFit="1"/>
    </xf>
    <xf numFmtId="0" fontId="14" fillId="2" borderId="71" xfId="0" applyFont="1" applyFill="1" applyBorder="1" applyAlignment="1" applyProtection="1">
      <alignment horizontal="center" shrinkToFit="1"/>
    </xf>
    <xf numFmtId="0" fontId="3" fillId="2" borderId="72" xfId="0" applyFont="1" applyFill="1" applyBorder="1" applyAlignment="1" applyProtection="1">
      <alignment horizontal="center" shrinkToFit="1"/>
    </xf>
    <xf numFmtId="0" fontId="3" fillId="2" borderId="73" xfId="0" applyFont="1" applyFill="1" applyBorder="1" applyAlignment="1" applyProtection="1">
      <alignment horizontal="center" shrinkToFit="1"/>
    </xf>
    <xf numFmtId="0" fontId="3" fillId="2" borderId="71" xfId="0" applyFont="1" applyFill="1" applyBorder="1" applyAlignment="1" applyProtection="1">
      <alignment horizontal="center" shrinkToFit="1"/>
    </xf>
    <xf numFmtId="0" fontId="3" fillId="2" borderId="74" xfId="0" applyFont="1" applyFill="1" applyBorder="1" applyAlignment="1" applyProtection="1">
      <alignment horizontal="center" shrinkToFit="1"/>
    </xf>
    <xf numFmtId="0" fontId="3" fillId="2" borderId="75" xfId="0" applyFont="1" applyFill="1" applyBorder="1" applyAlignment="1" applyProtection="1">
      <alignment horizontal="center" shrinkToFit="1"/>
    </xf>
    <xf numFmtId="0" fontId="3" fillId="2" borderId="76" xfId="0" applyFont="1" applyFill="1" applyBorder="1" applyAlignment="1" applyProtection="1">
      <alignment horizontal="center" shrinkToFit="1"/>
    </xf>
    <xf numFmtId="0" fontId="4" fillId="2" borderId="77" xfId="0" applyFont="1" applyFill="1" applyBorder="1" applyAlignment="1" applyProtection="1">
      <alignment horizontal="center" shrinkToFit="1"/>
    </xf>
    <xf numFmtId="0" fontId="4" fillId="2" borderId="78" xfId="0" applyFont="1" applyFill="1" applyBorder="1" applyAlignment="1" applyProtection="1">
      <alignment horizontal="center" shrinkToFit="1"/>
    </xf>
    <xf numFmtId="0" fontId="4" fillId="2" borderId="79" xfId="0" applyFont="1" applyFill="1" applyBorder="1" applyAlignment="1" applyProtection="1">
      <alignment horizontal="center" shrinkToFit="1"/>
    </xf>
    <xf numFmtId="0" fontId="9" fillId="2" borderId="77" xfId="0" applyFont="1" applyFill="1" applyBorder="1" applyAlignment="1" applyProtection="1">
      <alignment horizontal="center" shrinkToFit="1"/>
    </xf>
    <xf numFmtId="0" fontId="9" fillId="2" borderId="78" xfId="0" applyFont="1" applyFill="1" applyBorder="1" applyAlignment="1" applyProtection="1">
      <alignment horizontal="center" shrinkToFit="1"/>
    </xf>
    <xf numFmtId="0" fontId="9" fillId="2" borderId="0" xfId="0" applyFont="1" applyFill="1" applyBorder="1" applyAlignment="1" applyProtection="1">
      <alignment horizontal="center" shrinkToFit="1"/>
    </xf>
    <xf numFmtId="49" fontId="4" fillId="2" borderId="78" xfId="0" applyNumberFormat="1" applyFont="1" applyFill="1" applyBorder="1" applyAlignment="1" applyProtection="1">
      <alignment horizontal="center" shrinkToFit="1"/>
    </xf>
    <xf numFmtId="49" fontId="4" fillId="2" borderId="79" xfId="0" applyNumberFormat="1" applyFont="1" applyFill="1" applyBorder="1" applyAlignment="1" applyProtection="1">
      <alignment horizontal="center" shrinkToFit="1"/>
    </xf>
    <xf numFmtId="0" fontId="4" fillId="2" borderId="77" xfId="0" applyFont="1" applyFill="1" applyBorder="1" applyAlignment="1" applyProtection="1">
      <alignment horizontal="center" vertical="center" shrinkToFit="1"/>
    </xf>
    <xf numFmtId="0" fontId="4" fillId="2" borderId="79" xfId="0" applyFont="1" applyFill="1" applyBorder="1" applyAlignment="1" applyProtection="1">
      <alignment horizontal="center" vertical="center" shrinkToFit="1"/>
    </xf>
    <xf numFmtId="0" fontId="3" fillId="2" borderId="80" xfId="0" applyFont="1" applyFill="1" applyBorder="1" applyAlignment="1" applyProtection="1">
      <alignment horizontal="center" shrinkToFit="1"/>
    </xf>
    <xf numFmtId="0" fontId="3" fillId="2" borderId="81" xfId="0" applyFont="1" applyFill="1" applyBorder="1" applyAlignment="1" applyProtection="1">
      <alignment horizontal="center" shrinkToFit="1"/>
    </xf>
    <xf numFmtId="0" fontId="3" fillId="2" borderId="82" xfId="0" applyFont="1" applyFill="1" applyBorder="1" applyAlignment="1" applyProtection="1">
      <alignment horizontal="center" shrinkToFit="1"/>
    </xf>
    <xf numFmtId="0" fontId="3" fillId="2" borderId="83" xfId="0" applyFont="1" applyFill="1" applyBorder="1" applyAlignment="1" applyProtection="1">
      <alignment horizontal="center" shrinkToFit="1"/>
    </xf>
    <xf numFmtId="0" fontId="14" fillId="2" borderId="80" xfId="0" applyFont="1" applyFill="1" applyBorder="1" applyAlignment="1" applyProtection="1">
      <alignment horizontal="center" shrinkToFit="1"/>
    </xf>
    <xf numFmtId="0" fontId="14" fillId="2" borderId="82" xfId="0" applyFont="1" applyFill="1" applyBorder="1" applyAlignment="1" applyProtection="1">
      <alignment horizontal="center" shrinkToFit="1"/>
    </xf>
    <xf numFmtId="0" fontId="14" fillId="2" borderId="54" xfId="0" applyFont="1" applyFill="1" applyBorder="1" applyAlignment="1" applyProtection="1">
      <alignment horizontal="center" shrinkToFit="1"/>
    </xf>
    <xf numFmtId="0" fontId="8" fillId="2" borderId="84" xfId="0" applyFont="1" applyFill="1" applyBorder="1" applyAlignment="1" applyProtection="1">
      <alignment horizontal="center" vertical="center" shrinkToFit="1"/>
    </xf>
    <xf numFmtId="0" fontId="8" fillId="2" borderId="85" xfId="0" applyFont="1" applyFill="1" applyBorder="1" applyAlignment="1" applyProtection="1">
      <alignment horizontal="center" vertical="center" shrinkToFit="1"/>
    </xf>
    <xf numFmtId="0" fontId="8" fillId="2" borderId="30" xfId="0" applyFont="1" applyFill="1" applyBorder="1" applyAlignment="1" applyProtection="1">
      <alignment horizontal="center" vertical="center" shrinkToFit="1"/>
    </xf>
    <xf numFmtId="0" fontId="8" fillId="2" borderId="86" xfId="0" applyFont="1" applyFill="1" applyBorder="1" applyAlignment="1" applyProtection="1">
      <alignment horizontal="center" vertical="center" shrinkToFit="1"/>
    </xf>
    <xf numFmtId="0" fontId="8" fillId="2" borderId="0" xfId="0" applyFont="1" applyFill="1" applyBorder="1" applyAlignment="1" applyProtection="1">
      <alignment horizontal="center" vertical="center" shrinkToFit="1"/>
    </xf>
    <xf numFmtId="0" fontId="8" fillId="2" borderId="87" xfId="0" applyFont="1" applyFill="1" applyBorder="1" applyAlignment="1" applyProtection="1">
      <alignment horizontal="center" vertical="center" shrinkToFit="1"/>
    </xf>
    <xf numFmtId="0" fontId="14" fillId="2" borderId="88" xfId="0" applyFont="1" applyFill="1" applyBorder="1" applyAlignment="1" applyProtection="1">
      <alignment horizontal="center" shrinkToFit="1"/>
    </xf>
    <xf numFmtId="0" fontId="14" fillId="2" borderId="89" xfId="0" applyFont="1" applyFill="1" applyBorder="1" applyAlignment="1" applyProtection="1">
      <alignment horizontal="center" shrinkToFit="1"/>
    </xf>
    <xf numFmtId="0" fontId="14" fillId="2" borderId="0" xfId="0" applyFont="1" applyFill="1" applyBorder="1" applyAlignment="1" applyProtection="1">
      <alignment horizontal="center" shrinkToFit="1"/>
    </xf>
    <xf numFmtId="0" fontId="14" fillId="2" borderId="90" xfId="0" applyFont="1" applyFill="1" applyBorder="1" applyAlignment="1" applyProtection="1">
      <alignment horizontal="center" shrinkToFit="1"/>
    </xf>
    <xf numFmtId="0" fontId="3" fillId="2" borderId="91" xfId="0" applyFont="1" applyFill="1" applyBorder="1" applyAlignment="1" applyProtection="1">
      <alignment horizontal="center" shrinkToFit="1"/>
    </xf>
    <xf numFmtId="0" fontId="3" fillId="2" borderId="92" xfId="0" applyFont="1" applyFill="1" applyBorder="1" applyAlignment="1" applyProtection="1">
      <alignment horizontal="center" shrinkToFit="1"/>
    </xf>
    <xf numFmtId="0" fontId="3" fillId="2" borderId="86" xfId="0" applyFont="1" applyFill="1" applyBorder="1" applyAlignment="1" applyProtection="1">
      <alignment horizontal="center" shrinkToFit="1"/>
    </xf>
    <xf numFmtId="0" fontId="3" fillId="2" borderId="87" xfId="0" applyFont="1" applyFill="1" applyBorder="1" applyAlignment="1" applyProtection="1">
      <alignment horizontal="center" shrinkToFit="1"/>
    </xf>
    <xf numFmtId="49" fontId="9" fillId="2" borderId="78" xfId="0" applyNumberFormat="1" applyFont="1" applyFill="1" applyBorder="1" applyAlignment="1" applyProtection="1">
      <alignment horizontal="center" shrinkToFit="1"/>
    </xf>
    <xf numFmtId="0" fontId="9" fillId="2" borderId="79" xfId="0" applyFont="1" applyFill="1" applyBorder="1" applyAlignment="1" applyProtection="1">
      <alignment horizontal="center" shrinkToFit="1"/>
    </xf>
    <xf numFmtId="0" fontId="15" fillId="2" borderId="77" xfId="0" applyFont="1" applyFill="1" applyBorder="1" applyAlignment="1" applyProtection="1">
      <alignment horizontal="center" vertical="center" shrinkToFit="1"/>
    </xf>
    <xf numFmtId="0" fontId="15" fillId="2" borderId="78" xfId="0" applyFont="1" applyFill="1" applyBorder="1" applyAlignment="1" applyProtection="1">
      <alignment horizontal="center" vertical="center" shrinkToFit="1"/>
    </xf>
    <xf numFmtId="0" fontId="16" fillId="2" borderId="0" xfId="0" applyFont="1" applyFill="1" applyBorder="1" applyAlignment="1" applyProtection="1">
      <alignment horizontal="center" vertical="center" shrinkToFit="1"/>
    </xf>
    <xf numFmtId="0" fontId="16" fillId="2" borderId="78" xfId="0" applyFont="1" applyFill="1" applyBorder="1" applyAlignment="1" applyProtection="1">
      <alignment horizontal="center" vertical="center" shrinkToFit="1"/>
    </xf>
    <xf numFmtId="0" fontId="16" fillId="2" borderId="93" xfId="0" applyFont="1" applyFill="1" applyBorder="1" applyAlignment="1" applyProtection="1">
      <alignment horizontal="center" vertical="center" shrinkToFit="1"/>
    </xf>
    <xf numFmtId="0" fontId="16" fillId="2" borderId="79" xfId="0" applyFont="1" applyFill="1" applyBorder="1" applyAlignment="1" applyProtection="1">
      <alignment horizontal="center" vertical="center" shrinkToFit="1"/>
    </xf>
    <xf numFmtId="0" fontId="14" fillId="2" borderId="77" xfId="0" applyFont="1" applyFill="1" applyBorder="1" applyAlignment="1" applyProtection="1">
      <alignment horizontal="center" shrinkToFit="1"/>
    </xf>
    <xf numFmtId="0" fontId="14" fillId="2" borderId="86" xfId="0" applyFont="1" applyFill="1" applyBorder="1" applyAlignment="1" applyProtection="1">
      <alignment horizontal="center" shrinkToFit="1"/>
    </xf>
    <xf numFmtId="0" fontId="14" fillId="2" borderId="29" xfId="0" applyFont="1" applyFill="1" applyBorder="1" applyAlignment="1" applyProtection="1">
      <alignment horizontal="center" shrinkToFit="1"/>
    </xf>
    <xf numFmtId="0" fontId="14" fillId="2" borderId="78" xfId="0" applyFont="1" applyFill="1" applyBorder="1" applyAlignment="1" applyProtection="1">
      <alignment horizontal="center" shrinkToFit="1"/>
    </xf>
    <xf numFmtId="0" fontId="17" fillId="2" borderId="94" xfId="0" applyFont="1" applyFill="1" applyBorder="1" applyAlignment="1" applyProtection="1">
      <alignment horizontal="center" vertical="center" shrinkToFit="1"/>
    </xf>
    <xf numFmtId="0" fontId="17" fillId="2" borderId="23" xfId="0" applyFont="1" applyFill="1" applyBorder="1" applyAlignment="1" applyProtection="1">
      <alignment horizontal="center" vertical="center" shrinkToFit="1"/>
    </xf>
    <xf numFmtId="0" fontId="17" fillId="2" borderId="55" xfId="0" applyFont="1" applyFill="1" applyBorder="1" applyAlignment="1" applyProtection="1">
      <alignment horizontal="center" vertical="center" shrinkToFit="1"/>
    </xf>
    <xf numFmtId="0" fontId="17" fillId="2" borderId="95" xfId="0" applyFont="1" applyFill="1" applyBorder="1" applyAlignment="1" applyProtection="1">
      <alignment horizontal="center" vertical="center" shrinkToFit="1"/>
    </xf>
    <xf numFmtId="0" fontId="3" fillId="2" borderId="96" xfId="0" applyFont="1" applyFill="1" applyBorder="1" applyAlignment="1" applyProtection="1">
      <alignment horizontal="center" shrinkToFit="1"/>
    </xf>
    <xf numFmtId="0" fontId="3" fillId="2" borderId="97" xfId="0" applyFont="1" applyFill="1" applyBorder="1" applyAlignment="1" applyProtection="1">
      <alignment horizontal="center" shrinkToFit="1"/>
    </xf>
    <xf numFmtId="0" fontId="3" fillId="2" borderId="98" xfId="0" applyFont="1" applyFill="1" applyBorder="1" applyAlignment="1" applyProtection="1">
      <alignment horizontal="center" shrinkToFit="1"/>
    </xf>
    <xf numFmtId="0" fontId="3" fillId="2" borderId="99" xfId="0" applyFont="1" applyFill="1" applyBorder="1" applyAlignment="1" applyProtection="1">
      <alignment horizontal="center" shrinkToFit="1"/>
    </xf>
    <xf numFmtId="0" fontId="3" fillId="2" borderId="100" xfId="0" applyFont="1" applyFill="1" applyBorder="1" applyAlignment="1" applyProtection="1">
      <alignment horizontal="center" shrinkToFit="1"/>
    </xf>
    <xf numFmtId="0" fontId="3" fillId="2" borderId="59" xfId="0" applyFont="1" applyFill="1" applyBorder="1" applyAlignment="1" applyProtection="1">
      <alignment horizontal="center" shrinkToFit="1"/>
    </xf>
    <xf numFmtId="0" fontId="3" fillId="2" borderId="64" xfId="0" applyFont="1" applyFill="1" applyBorder="1" applyAlignment="1" applyProtection="1">
      <alignment horizontal="center" shrinkToFit="1"/>
    </xf>
    <xf numFmtId="0" fontId="18" fillId="2" borderId="101" xfId="0" applyFont="1" applyFill="1" applyBorder="1" applyAlignment="1" applyProtection="1">
      <alignment horizontal="center" shrinkToFit="1"/>
    </xf>
    <xf numFmtId="0" fontId="18" fillId="2" borderId="71" xfId="0" applyFont="1" applyFill="1" applyBorder="1" applyAlignment="1" applyProtection="1">
      <alignment horizontal="center" shrinkToFit="1"/>
    </xf>
    <xf numFmtId="0" fontId="3" fillId="2" borderId="66" xfId="0" applyFont="1" applyFill="1" applyBorder="1" applyAlignment="1" applyProtection="1">
      <alignment horizontal="center" shrinkToFit="1"/>
    </xf>
    <xf numFmtId="0" fontId="3" fillId="2" borderId="102" xfId="0" applyFont="1" applyFill="1" applyBorder="1" applyAlignment="1" applyProtection="1">
      <alignment horizontal="center" shrinkToFit="1"/>
    </xf>
    <xf numFmtId="0" fontId="3" fillId="2" borderId="103" xfId="0" applyFont="1" applyFill="1" applyBorder="1" applyAlignment="1" applyProtection="1">
      <alignment horizontal="center" shrinkToFit="1"/>
    </xf>
    <xf numFmtId="0" fontId="3" fillId="2" borderId="104" xfId="0" applyFont="1" applyFill="1" applyBorder="1" applyAlignment="1" applyProtection="1">
      <alignment horizontal="center" shrinkToFit="1"/>
    </xf>
    <xf numFmtId="0" fontId="3" fillId="2" borderId="70" xfId="0" applyFont="1" applyFill="1" applyBorder="1" applyAlignment="1" applyProtection="1">
      <alignment horizontal="center" shrinkToFit="1"/>
    </xf>
    <xf numFmtId="0" fontId="3" fillId="2" borderId="105" xfId="0" applyFont="1" applyFill="1" applyBorder="1" applyAlignment="1" applyProtection="1">
      <alignment horizontal="center" shrinkToFit="1"/>
    </xf>
    <xf numFmtId="0" fontId="3" fillId="2" borderId="106" xfId="0" applyFont="1" applyFill="1" applyBorder="1" applyAlignment="1" applyProtection="1">
      <alignment horizontal="center" shrinkToFit="1"/>
    </xf>
    <xf numFmtId="0" fontId="3" fillId="2" borderId="107" xfId="0" applyFont="1" applyFill="1" applyBorder="1" applyAlignment="1" applyProtection="1">
      <alignment horizontal="center" shrinkToFit="1"/>
    </xf>
    <xf numFmtId="0" fontId="3" fillId="2" borderId="108" xfId="0" applyFont="1" applyFill="1" applyBorder="1" applyAlignment="1" applyProtection="1">
      <alignment horizontal="center" shrinkToFit="1"/>
    </xf>
    <xf numFmtId="0" fontId="4" fillId="2" borderId="104" xfId="0" applyFont="1" applyFill="1" applyBorder="1" applyAlignment="1" applyProtection="1">
      <alignment horizontal="center" shrinkToFit="1"/>
    </xf>
    <xf numFmtId="49" fontId="9" fillId="2" borderId="12" xfId="0" applyNumberFormat="1" applyFont="1" applyFill="1" applyBorder="1" applyAlignment="1" applyProtection="1">
      <alignment horizontal="center" shrinkToFit="1"/>
    </xf>
    <xf numFmtId="0" fontId="9" fillId="2" borderId="12" xfId="0" applyFont="1" applyFill="1" applyBorder="1" applyAlignment="1" applyProtection="1">
      <alignment horizontal="center" shrinkToFit="1"/>
    </xf>
    <xf numFmtId="0" fontId="4" fillId="2" borderId="109" xfId="0" applyFont="1" applyFill="1" applyBorder="1" applyAlignment="1" applyProtection="1">
      <alignment horizontal="center" shrinkToFit="1"/>
    </xf>
    <xf numFmtId="0" fontId="3" fillId="2" borderId="104" xfId="0" applyFont="1" applyFill="1" applyBorder="1" applyAlignment="1" applyProtection="1">
      <alignment horizontal="center" vertical="center" shrinkToFit="1"/>
    </xf>
    <xf numFmtId="0" fontId="3" fillId="2" borderId="110" xfId="0" applyFont="1" applyFill="1" applyBorder="1" applyAlignment="1" applyProtection="1">
      <alignment horizontal="center" shrinkToFit="1"/>
    </xf>
    <xf numFmtId="49" fontId="14" fillId="2" borderId="16" xfId="0" applyNumberFormat="1" applyFont="1" applyFill="1" applyBorder="1" applyAlignment="1" applyProtection="1">
      <alignment horizontal="center" shrinkToFit="1"/>
    </xf>
    <xf numFmtId="49" fontId="14" fillId="2" borderId="111" xfId="0" applyNumberFormat="1" applyFont="1" applyFill="1" applyBorder="1" applyAlignment="1" applyProtection="1">
      <alignment horizontal="center" shrinkToFit="1"/>
    </xf>
    <xf numFmtId="0" fontId="3" fillId="2" borderId="112" xfId="0" applyFont="1" applyFill="1" applyBorder="1" applyAlignment="1" applyProtection="1">
      <alignment horizontal="center" shrinkToFit="1"/>
    </xf>
    <xf numFmtId="0" fontId="14" fillId="2" borderId="113" xfId="0" applyFont="1" applyFill="1" applyBorder="1" applyAlignment="1" applyProtection="1">
      <alignment horizontal="center" shrinkToFit="1"/>
    </xf>
    <xf numFmtId="0" fontId="14" fillId="2" borderId="59" xfId="0" applyFont="1" applyFill="1" applyBorder="1" applyAlignment="1" applyProtection="1">
      <alignment horizontal="center" shrinkToFit="1"/>
    </xf>
    <xf numFmtId="0" fontId="3" fillId="2" borderId="60" xfId="0" applyFont="1" applyFill="1" applyBorder="1" applyAlignment="1" applyProtection="1">
      <alignment horizontal="center" shrinkToFit="1"/>
    </xf>
    <xf numFmtId="0" fontId="3" fillId="2" borderId="78" xfId="0" applyFont="1" applyFill="1" applyBorder="1" applyAlignment="1" applyProtection="1">
      <alignment horizontal="center" shrinkToFit="1"/>
    </xf>
    <xf numFmtId="0" fontId="3" fillId="2" borderId="114" xfId="0" applyFont="1" applyFill="1" applyBorder="1" applyAlignment="1" applyProtection="1">
      <alignment horizontal="center" shrinkToFit="1"/>
    </xf>
    <xf numFmtId="49" fontId="14" fillId="2" borderId="115" xfId="0" applyNumberFormat="1" applyFont="1" applyFill="1" applyBorder="1" applyAlignment="1" applyProtection="1">
      <alignment horizontal="center" shrinkToFit="1"/>
    </xf>
    <xf numFmtId="49" fontId="19" fillId="2" borderId="116" xfId="0" applyNumberFormat="1" applyFont="1" applyFill="1" applyBorder="1" applyAlignment="1" applyProtection="1">
      <alignment horizontal="center" shrinkToFit="1"/>
    </xf>
    <xf numFmtId="0" fontId="14" fillId="2" borderId="117" xfId="0" applyFont="1" applyFill="1" applyBorder="1" applyAlignment="1" applyProtection="1">
      <alignment horizontal="center" shrinkToFit="1"/>
    </xf>
    <xf numFmtId="0" fontId="3" fillId="2" borderId="118" xfId="0" applyFont="1" applyFill="1" applyBorder="1" applyAlignment="1" applyProtection="1">
      <alignment horizontal="center" shrinkToFit="1"/>
    </xf>
    <xf numFmtId="0" fontId="14" fillId="2" borderId="119" xfId="0" applyFont="1" applyFill="1" applyBorder="1" applyAlignment="1" applyProtection="1">
      <alignment horizontal="center" shrinkToFit="1"/>
    </xf>
    <xf numFmtId="0" fontId="14" fillId="2" borderId="109" xfId="0" applyFont="1" applyFill="1" applyBorder="1" applyAlignment="1" applyProtection="1">
      <alignment horizontal="center" shrinkToFit="1"/>
    </xf>
    <xf numFmtId="0" fontId="3" fillId="2" borderId="120" xfId="0" applyFont="1" applyFill="1" applyBorder="1" applyAlignment="1" applyProtection="1">
      <alignment horizontal="center" shrinkToFit="1"/>
    </xf>
    <xf numFmtId="0" fontId="3" fillId="2" borderId="121" xfId="0" applyFont="1" applyFill="1" applyBorder="1" applyAlignment="1" applyProtection="1">
      <alignment horizontal="center" shrinkToFit="1"/>
    </xf>
    <xf numFmtId="0" fontId="3" fillId="2" borderId="122" xfId="0" applyFont="1" applyFill="1" applyBorder="1" applyAlignment="1" applyProtection="1">
      <alignment horizontal="center" shrinkToFit="1"/>
    </xf>
    <xf numFmtId="0" fontId="3" fillId="2" borderId="123" xfId="0" applyFont="1" applyFill="1" applyBorder="1" applyAlignment="1" applyProtection="1">
      <alignment horizontal="center" shrinkToFit="1"/>
    </xf>
    <xf numFmtId="0" fontId="3" fillId="2" borderId="124" xfId="0" applyFont="1" applyFill="1" applyBorder="1" applyAlignment="1" applyProtection="1">
      <alignment horizontal="center" shrinkToFit="1"/>
    </xf>
    <xf numFmtId="0" fontId="3" fillId="2" borderId="125" xfId="0" applyFont="1" applyFill="1" applyBorder="1" applyAlignment="1" applyProtection="1">
      <alignment horizontal="center" shrinkToFit="1"/>
    </xf>
    <xf numFmtId="0" fontId="20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21" fillId="2" borderId="0" xfId="0" applyFont="1" applyFill="1" applyAlignment="1">
      <alignment horizontal="center"/>
    </xf>
    <xf numFmtId="164" fontId="22" fillId="2" borderId="0" xfId="0" applyNumberFormat="1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 shrinkToFit="1"/>
    </xf>
    <xf numFmtId="14" fontId="21" fillId="2" borderId="0" xfId="0" applyNumberFormat="1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 shrinkToFit="1"/>
    </xf>
    <xf numFmtId="0" fontId="23" fillId="2" borderId="126" xfId="0" applyFont="1" applyFill="1" applyBorder="1" applyAlignment="1">
      <alignment horizontal="center" shrinkToFit="1"/>
    </xf>
    <xf numFmtId="0" fontId="24" fillId="0" borderId="127" xfId="0" applyFont="1" applyBorder="1"/>
    <xf numFmtId="0" fontId="24" fillId="0" borderId="126" xfId="0" applyFont="1" applyBorder="1"/>
    <xf numFmtId="0" fontId="25" fillId="0" borderId="7" xfId="0" applyFont="1" applyBorder="1"/>
    <xf numFmtId="0" fontId="25" fillId="0" borderId="127" xfId="0" applyFont="1" applyBorder="1"/>
    <xf numFmtId="0" fontId="24" fillId="0" borderId="5" xfId="0" applyFont="1" applyBorder="1"/>
    <xf numFmtId="0" fontId="26" fillId="2" borderId="0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shrinkToFit="1"/>
    </xf>
    <xf numFmtId="0" fontId="27" fillId="2" borderId="6" xfId="0" applyFont="1" applyFill="1" applyBorder="1" applyAlignment="1">
      <alignment horizontal="center" shrinkToFit="1"/>
    </xf>
    <xf numFmtId="0" fontId="24" fillId="0" borderId="7" xfId="0" applyFont="1" applyBorder="1"/>
    <xf numFmtId="0" fontId="26" fillId="2" borderId="7" xfId="0" applyFont="1" applyFill="1" applyBorder="1" applyAlignment="1">
      <alignment horizontal="center" shrinkToFit="1"/>
    </xf>
    <xf numFmtId="0" fontId="26" fillId="2" borderId="6" xfId="0" applyFont="1" applyFill="1" applyBorder="1" applyAlignment="1">
      <alignment horizontal="center" shrinkToFit="1"/>
    </xf>
    <xf numFmtId="0" fontId="26" fillId="2" borderId="45" xfId="0" applyFont="1" applyFill="1" applyBorder="1" applyAlignment="1">
      <alignment horizontal="center" shrinkToFit="1"/>
    </xf>
    <xf numFmtId="0" fontId="26" fillId="2" borderId="46" xfId="0" applyFont="1" applyFill="1" applyBorder="1" applyAlignment="1">
      <alignment horizontal="center" shrinkToFit="1"/>
    </xf>
    <xf numFmtId="0" fontId="26" fillId="2" borderId="5" xfId="0" applyFont="1" applyFill="1" applyBorder="1" applyAlignment="1">
      <alignment horizontal="center" shrinkToFit="1"/>
    </xf>
    <xf numFmtId="0" fontId="0" fillId="0" borderId="0" xfId="0" applyFont="1"/>
    <xf numFmtId="0" fontId="0" fillId="0" borderId="0" xfId="0" applyFont="1" applyAlignment="1">
      <alignment horizontal="left"/>
    </xf>
    <xf numFmtId="0" fontId="22" fillId="2" borderId="10" xfId="0" applyFont="1" applyFill="1" applyBorder="1" applyAlignment="1">
      <alignment horizontal="center" shrinkToFit="1"/>
    </xf>
    <xf numFmtId="0" fontId="22" fillId="2" borderId="78" xfId="0" applyFont="1" applyFill="1" applyBorder="1" applyAlignment="1">
      <alignment horizontal="center" shrinkToFit="1"/>
    </xf>
    <xf numFmtId="0" fontId="22" fillId="2" borderId="0" xfId="0" applyFont="1" applyFill="1" applyBorder="1" applyAlignment="1">
      <alignment horizontal="center" shrinkToFit="1"/>
    </xf>
    <xf numFmtId="0" fontId="22" fillId="2" borderId="13" xfId="0" applyFont="1" applyFill="1" applyBorder="1" applyAlignment="1">
      <alignment horizontal="center" shrinkToFit="1"/>
    </xf>
    <xf numFmtId="0" fontId="22" fillId="2" borderId="12" xfId="0" applyFont="1" applyFill="1" applyBorder="1" applyAlignment="1">
      <alignment horizontal="center" shrinkToFit="1"/>
    </xf>
    <xf numFmtId="49" fontId="22" fillId="2" borderId="12" xfId="0" applyNumberFormat="1" applyFont="1" applyFill="1" applyBorder="1" applyAlignment="1">
      <alignment horizontal="center" shrinkToFit="1"/>
    </xf>
    <xf numFmtId="49" fontId="22" fillId="2" borderId="13" xfId="0" applyNumberFormat="1" applyFont="1" applyFill="1" applyBorder="1" applyAlignment="1">
      <alignment horizontal="center" shrinkToFit="1"/>
    </xf>
    <xf numFmtId="0" fontId="0" fillId="0" borderId="0" xfId="0" applyAlignment="1"/>
    <xf numFmtId="0" fontId="22" fillId="2" borderId="128" xfId="0" applyFont="1" applyFill="1" applyBorder="1" applyAlignment="1">
      <alignment horizontal="center" vertical="center" shrinkToFit="1"/>
    </xf>
    <xf numFmtId="0" fontId="22" fillId="2" borderId="78" xfId="0" applyFont="1" applyFill="1" applyBorder="1" applyAlignment="1">
      <alignment horizontal="center" vertical="center" shrinkToFit="1"/>
    </xf>
    <xf numFmtId="0" fontId="21" fillId="2" borderId="14" xfId="0" applyFont="1" applyFill="1" applyBorder="1" applyAlignment="1">
      <alignment horizontal="center" shrinkToFit="1"/>
    </xf>
    <xf numFmtId="0" fontId="21" fillId="2" borderId="31" xfId="0" applyFont="1" applyFill="1" applyBorder="1" applyAlignment="1">
      <alignment horizontal="center" shrinkToFit="1"/>
    </xf>
    <xf numFmtId="0" fontId="21" fillId="2" borderId="129" xfId="0" applyFont="1" applyFill="1" applyBorder="1" applyAlignment="1">
      <alignment horizontal="center" shrinkToFit="1"/>
    </xf>
    <xf numFmtId="0" fontId="21" fillId="2" borderId="130" xfId="0" applyFont="1" applyFill="1" applyBorder="1" applyAlignment="1">
      <alignment horizontal="center" shrinkToFit="1"/>
    </xf>
    <xf numFmtId="0" fontId="21" fillId="2" borderId="16" xfId="0" applyFont="1" applyFill="1" applyBorder="1" applyAlignment="1">
      <alignment horizontal="center" shrinkToFit="1"/>
    </xf>
    <xf numFmtId="0" fontId="21" fillId="2" borderId="20" xfId="0" applyFont="1" applyFill="1" applyBorder="1" applyAlignment="1">
      <alignment horizontal="center" shrinkToFit="1"/>
    </xf>
    <xf numFmtId="0" fontId="21" fillId="2" borderId="131" xfId="0" applyFont="1" applyFill="1" applyBorder="1" applyAlignment="1">
      <alignment horizontal="center" shrinkToFit="1"/>
    </xf>
    <xf numFmtId="0" fontId="21" fillId="2" borderId="132" xfId="0" applyFont="1" applyFill="1" applyBorder="1" applyAlignment="1">
      <alignment horizontal="center" shrinkToFit="1"/>
    </xf>
    <xf numFmtId="0" fontId="21" fillId="2" borderId="133" xfId="0" applyFont="1" applyFill="1" applyBorder="1" applyAlignment="1">
      <alignment horizontal="center" shrinkToFit="1"/>
    </xf>
    <xf numFmtId="0" fontId="0" fillId="0" borderId="21" xfId="0" applyBorder="1" applyAlignment="1">
      <alignment horizontal="center" vertical="center"/>
    </xf>
    <xf numFmtId="0" fontId="28" fillId="0" borderId="21" xfId="0" applyFont="1" applyBorder="1"/>
    <xf numFmtId="0" fontId="23" fillId="0" borderId="0" xfId="0" applyFont="1"/>
    <xf numFmtId="0" fontId="23" fillId="0" borderId="10" xfId="0" applyFont="1" applyBorder="1"/>
    <xf numFmtId="0" fontId="23" fillId="0" borderId="0" xfId="0" applyFont="1" applyBorder="1"/>
    <xf numFmtId="0" fontId="24" fillId="0" borderId="134" xfId="0" applyFont="1" applyBorder="1"/>
    <xf numFmtId="0" fontId="24" fillId="0" borderId="56" xfId="0" applyFont="1" applyBorder="1"/>
    <xf numFmtId="0" fontId="25" fillId="0" borderId="134" xfId="0" applyFont="1" applyBorder="1"/>
    <xf numFmtId="0" fontId="25" fillId="0" borderId="56" xfId="0" applyFont="1" applyBorder="1"/>
    <xf numFmtId="0" fontId="24" fillId="0" borderId="95" xfId="0" applyFont="1" applyBorder="1"/>
    <xf numFmtId="0" fontId="29" fillId="2" borderId="134" xfId="0" applyFont="1" applyFill="1" applyBorder="1" applyAlignment="1">
      <alignment horizontal="center" shrinkToFit="1"/>
    </xf>
    <xf numFmtId="0" fontId="29" fillId="2" borderId="25" xfId="0" applyFont="1" applyFill="1" applyBorder="1" applyAlignment="1">
      <alignment horizontal="center" shrinkToFit="1"/>
    </xf>
    <xf numFmtId="0" fontId="30" fillId="2" borderId="26" xfId="0" applyFont="1" applyFill="1" applyBorder="1" applyAlignment="1">
      <alignment horizontal="center" shrinkToFit="1"/>
    </xf>
    <xf numFmtId="0" fontId="30" fillId="2" borderId="89" xfId="0" applyFont="1" applyFill="1" applyBorder="1" applyAlignment="1">
      <alignment horizontal="center" shrinkToFit="1"/>
    </xf>
    <xf numFmtId="0" fontId="24" fillId="0" borderId="0" xfId="0" applyFont="1" applyBorder="1"/>
    <xf numFmtId="0" fontId="24" fillId="0" borderId="13" xfId="0" applyFont="1" applyBorder="1"/>
    <xf numFmtId="0" fontId="21" fillId="2" borderId="91" xfId="0" applyFont="1" applyFill="1" applyBorder="1" applyAlignment="1">
      <alignment horizontal="center" shrinkToFit="1"/>
    </xf>
    <xf numFmtId="0" fontId="21" fillId="2" borderId="92" xfId="0" applyFont="1" applyFill="1" applyBorder="1" applyAlignment="1">
      <alignment horizontal="center" shrinkToFit="1"/>
    </xf>
    <xf numFmtId="0" fontId="21" fillId="2" borderId="30" xfId="0" applyFont="1" applyFill="1" applyBorder="1" applyAlignment="1">
      <alignment horizontal="center" shrinkToFit="1"/>
    </xf>
    <xf numFmtId="0" fontId="21" fillId="2" borderId="86" xfId="0" applyFont="1" applyFill="1" applyBorder="1" applyAlignment="1">
      <alignment horizontal="center" shrinkToFit="1"/>
    </xf>
    <xf numFmtId="0" fontId="21" fillId="2" borderId="58" xfId="0" applyFont="1" applyFill="1" applyBorder="1" applyAlignment="1">
      <alignment horizontal="center" shrinkToFit="1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/>
    <xf numFmtId="49" fontId="31" fillId="2" borderId="78" xfId="0" applyNumberFormat="1" applyFont="1" applyFill="1" applyBorder="1" applyAlignment="1">
      <alignment horizontal="center" shrinkToFit="1"/>
    </xf>
    <xf numFmtId="0" fontId="31" fillId="2" borderId="13" xfId="0" applyFont="1" applyFill="1" applyBorder="1" applyAlignment="1">
      <alignment horizontal="center" shrinkToFit="1"/>
    </xf>
    <xf numFmtId="49" fontId="31" fillId="2" borderId="13" xfId="0" applyNumberFormat="1" applyFont="1" applyFill="1" applyBorder="1" applyAlignment="1">
      <alignment horizontal="center" shrinkToFit="1"/>
    </xf>
    <xf numFmtId="49" fontId="22" fillId="2" borderId="78" xfId="0" applyNumberFormat="1" applyFont="1" applyFill="1" applyBorder="1" applyAlignment="1">
      <alignment horizontal="center" shrinkToFit="1"/>
    </xf>
    <xf numFmtId="0" fontId="21" fillId="2" borderId="57" xfId="0" applyFont="1" applyFill="1" applyBorder="1" applyAlignment="1">
      <alignment horizontal="center" shrinkToFit="1"/>
    </xf>
    <xf numFmtId="0" fontId="32" fillId="2" borderId="56" xfId="0" applyFont="1" applyFill="1" applyBorder="1" applyAlignment="1">
      <alignment horizontal="center" shrinkToFit="1"/>
    </xf>
    <xf numFmtId="0" fontId="32" fillId="2" borderId="95" xfId="0" applyFont="1" applyFill="1" applyBorder="1" applyAlignment="1">
      <alignment horizontal="center" shrinkToFit="1"/>
    </xf>
    <xf numFmtId="0" fontId="29" fillId="2" borderId="56" xfId="0" applyFont="1" applyFill="1" applyBorder="1" applyAlignment="1">
      <alignment horizontal="center" shrinkToFit="1"/>
    </xf>
    <xf numFmtId="0" fontId="29" fillId="2" borderId="95" xfId="0" applyFont="1" applyFill="1" applyBorder="1" applyAlignment="1">
      <alignment horizontal="center" shrinkToFit="1"/>
    </xf>
    <xf numFmtId="0" fontId="32" fillId="2" borderId="25" xfId="0" applyFont="1" applyFill="1" applyBorder="1" applyAlignment="1">
      <alignment horizontal="center" shrinkToFit="1"/>
    </xf>
    <xf numFmtId="0" fontId="32" fillId="2" borderId="135" xfId="0" applyFont="1" applyFill="1" applyBorder="1" applyAlignment="1">
      <alignment horizontal="center" shrinkToFit="1"/>
    </xf>
    <xf numFmtId="0" fontId="32" fillId="2" borderId="136" xfId="0" applyFont="1" applyFill="1" applyBorder="1" applyAlignment="1">
      <alignment horizontal="center" shrinkToFit="1"/>
    </xf>
    <xf numFmtId="0" fontId="24" fillId="0" borderId="25" xfId="0" applyFont="1" applyBorder="1"/>
    <xf numFmtId="0" fontId="31" fillId="2" borderId="78" xfId="0" applyFont="1" applyFill="1" applyBorder="1" applyAlignment="1">
      <alignment horizontal="center" shrinkToFit="1"/>
    </xf>
    <xf numFmtId="0" fontId="22" fillId="2" borderId="0" xfId="0" applyFont="1" applyFill="1" applyBorder="1" applyAlignment="1">
      <alignment horizontal="center" vertical="center" shrinkToFit="1"/>
    </xf>
    <xf numFmtId="0" fontId="21" fillId="2" borderId="137" xfId="0" applyFont="1" applyFill="1" applyBorder="1" applyAlignment="1">
      <alignment horizontal="center" shrinkToFit="1"/>
    </xf>
    <xf numFmtId="0" fontId="21" fillId="2" borderId="43" xfId="0" applyFont="1" applyFill="1" applyBorder="1" applyAlignment="1">
      <alignment horizontal="center" shrinkToFit="1"/>
    </xf>
    <xf numFmtId="0" fontId="32" fillId="2" borderId="134" xfId="0" applyFont="1" applyFill="1" applyBorder="1" applyAlignment="1">
      <alignment horizontal="center" shrinkToFit="1"/>
    </xf>
    <xf numFmtId="0" fontId="33" fillId="2" borderId="0" xfId="0" applyFont="1" applyFill="1" applyBorder="1" applyAlignment="1">
      <alignment horizontal="center" shrinkToFit="1"/>
    </xf>
    <xf numFmtId="0" fontId="30" fillId="2" borderId="135" xfId="0" applyFont="1" applyFill="1" applyBorder="1" applyAlignment="1">
      <alignment horizontal="center" shrinkToFit="1"/>
    </xf>
    <xf numFmtId="0" fontId="30" fillId="2" borderId="138" xfId="0" applyFont="1" applyFill="1" applyBorder="1" applyAlignment="1">
      <alignment horizontal="center" shrinkToFit="1"/>
    </xf>
    <xf numFmtId="0" fontId="34" fillId="2" borderId="1" xfId="0" applyFont="1" applyFill="1" applyBorder="1" applyAlignment="1">
      <alignment horizontal="center" shrinkToFit="1"/>
    </xf>
    <xf numFmtId="0" fontId="34" fillId="2" borderId="5" xfId="0" applyFont="1" applyFill="1" applyBorder="1" applyAlignment="1">
      <alignment horizontal="center" shrinkToFit="1"/>
    </xf>
    <xf numFmtId="0" fontId="33" fillId="2" borderId="30" xfId="0" applyFont="1" applyFill="1" applyBorder="1" applyAlignment="1">
      <alignment horizontal="center" shrinkToFit="1"/>
    </xf>
    <xf numFmtId="0" fontId="33" fillId="2" borderId="86" xfId="0" applyFont="1" applyFill="1" applyBorder="1" applyAlignment="1">
      <alignment horizontal="center" shrinkToFit="1"/>
    </xf>
    <xf numFmtId="0" fontId="33" fillId="2" borderId="58" xfId="0" applyFont="1" applyFill="1" applyBorder="1" applyAlignment="1">
      <alignment horizontal="center" shrinkToFit="1"/>
    </xf>
    <xf numFmtId="0" fontId="35" fillId="0" borderId="0" xfId="0" applyFont="1"/>
    <xf numFmtId="0" fontId="36" fillId="0" borderId="0" xfId="0" applyFont="1"/>
    <xf numFmtId="0" fontId="21" fillId="2" borderId="35" xfId="0" applyFont="1" applyFill="1" applyBorder="1" applyAlignment="1">
      <alignment horizontal="center" shrinkToFit="1"/>
    </xf>
    <xf numFmtId="0" fontId="21" fillId="2" borderId="62" xfId="0" applyFont="1" applyFill="1" applyBorder="1" applyAlignment="1">
      <alignment horizontal="center" shrinkToFit="1"/>
    </xf>
    <xf numFmtId="0" fontId="21" fillId="2" borderId="139" xfId="0" applyFont="1" applyFill="1" applyBorder="1" applyAlignment="1">
      <alignment horizontal="center" shrinkToFit="1"/>
    </xf>
    <xf numFmtId="0" fontId="21" fillId="2" borderId="38" xfId="0" applyFont="1" applyFill="1" applyBorder="1" applyAlignment="1">
      <alignment horizontal="center" shrinkToFit="1"/>
    </xf>
    <xf numFmtId="0" fontId="21" fillId="2" borderId="40" xfId="0" applyFont="1" applyFill="1" applyBorder="1" applyAlignment="1">
      <alignment horizontal="center" shrinkToFit="1"/>
    </xf>
    <xf numFmtId="0" fontId="21" fillId="2" borderId="140" xfId="0" applyFont="1" applyFill="1" applyBorder="1" applyAlignment="1">
      <alignment horizontal="center" shrinkToFit="1"/>
    </xf>
    <xf numFmtId="0" fontId="21" fillId="2" borderId="59" xfId="0" applyFont="1" applyFill="1" applyBorder="1" applyAlignment="1">
      <alignment horizontal="center" shrinkToFit="1"/>
    </xf>
    <xf numFmtId="0" fontId="21" fillId="2" borderId="0" xfId="0" applyFont="1" applyFill="1" applyBorder="1" applyAlignment="1">
      <alignment horizontal="center" shrinkToFit="1"/>
    </xf>
    <xf numFmtId="0" fontId="21" fillId="2" borderId="122" xfId="0" applyFont="1" applyFill="1" applyBorder="1" applyAlignment="1">
      <alignment horizontal="center" shrinkToFit="1"/>
    </xf>
    <xf numFmtId="0" fontId="25" fillId="0" borderId="1" xfId="0" applyFont="1" applyBorder="1"/>
    <xf numFmtId="0" fontId="1" fillId="0" borderId="127" xfId="0" applyFont="1" applyBorder="1"/>
    <xf numFmtId="0" fontId="1" fillId="0" borderId="7" xfId="0" applyFont="1" applyBorder="1"/>
    <xf numFmtId="0" fontId="36" fillId="0" borderId="7" xfId="0" applyFont="1" applyBorder="1"/>
    <xf numFmtId="0" fontId="36" fillId="0" borderId="5" xfId="0" applyFont="1" applyBorder="1"/>
    <xf numFmtId="0" fontId="33" fillId="2" borderId="109" xfId="0" applyFont="1" applyFill="1" applyBorder="1" applyAlignment="1">
      <alignment horizontal="center" shrinkToFit="1"/>
    </xf>
    <xf numFmtId="0" fontId="37" fillId="2" borderId="29" xfId="0" applyFont="1" applyFill="1" applyBorder="1" applyAlignment="1">
      <alignment horizontal="center" shrinkToFit="1"/>
    </xf>
    <xf numFmtId="0" fontId="37" fillId="2" borderId="141" xfId="0" applyFont="1" applyFill="1" applyBorder="1" applyAlignment="1">
      <alignment horizontal="center" shrinkToFit="1"/>
    </xf>
    <xf numFmtId="0" fontId="33" fillId="2" borderId="142" xfId="0" applyFont="1" applyFill="1" applyBorder="1" applyAlignment="1">
      <alignment horizontal="center" shrinkToFit="1"/>
    </xf>
    <xf numFmtId="0" fontId="33" fillId="2" borderId="85" xfId="0" applyFont="1" applyFill="1" applyBorder="1" applyAlignment="1">
      <alignment horizontal="center" shrinkToFit="1"/>
    </xf>
    <xf numFmtId="0" fontId="33" fillId="2" borderId="114" xfId="0" applyFont="1" applyFill="1" applyBorder="1" applyAlignment="1">
      <alignment horizontal="center" shrinkToFit="1"/>
    </xf>
    <xf numFmtId="0" fontId="33" fillId="2" borderId="102" xfId="0" applyFont="1" applyFill="1" applyBorder="1" applyAlignment="1">
      <alignment horizontal="center" shrinkToFit="1"/>
    </xf>
    <xf numFmtId="0" fontId="33" fillId="2" borderId="143" xfId="0" applyFont="1" applyFill="1" applyBorder="1" applyAlignment="1">
      <alignment horizontal="center" shrinkToFit="1"/>
    </xf>
    <xf numFmtId="0" fontId="33" fillId="2" borderId="76" xfId="0" applyFont="1" applyFill="1" applyBorder="1" applyAlignment="1">
      <alignment horizontal="center" shrinkToFit="1"/>
    </xf>
    <xf numFmtId="0" fontId="33" fillId="2" borderId="144" xfId="0" applyFont="1" applyFill="1" applyBorder="1" applyAlignment="1">
      <alignment horizontal="center" shrinkToFit="1"/>
    </xf>
    <xf numFmtId="0" fontId="35" fillId="0" borderId="0" xfId="0" applyFont="1" applyAlignment="1">
      <alignment horizontal="left"/>
    </xf>
    <xf numFmtId="0" fontId="21" fillId="2" borderId="109" xfId="0" applyFont="1" applyFill="1" applyBorder="1" applyAlignment="1">
      <alignment horizontal="center" shrinkToFit="1"/>
    </xf>
    <xf numFmtId="49" fontId="31" fillId="2" borderId="12" xfId="0" applyNumberFormat="1" applyFont="1" applyFill="1" applyBorder="1" applyAlignment="1">
      <alignment horizontal="center" shrinkToFit="1"/>
    </xf>
    <xf numFmtId="0" fontId="22" fillId="2" borderId="109" xfId="0" applyFont="1" applyFill="1" applyBorder="1" applyAlignment="1">
      <alignment horizontal="center" shrinkToFit="1"/>
    </xf>
    <xf numFmtId="0" fontId="22" fillId="2" borderId="79" xfId="0" applyFont="1" applyFill="1" applyBorder="1" applyAlignment="1">
      <alignment horizontal="center" shrinkToFit="1"/>
    </xf>
    <xf numFmtId="0" fontId="21" fillId="2" borderId="109" xfId="0" applyFont="1" applyFill="1" applyBorder="1" applyAlignment="1">
      <alignment horizontal="center" vertical="center" shrinkToFit="1"/>
    </xf>
    <xf numFmtId="0" fontId="21" fillId="2" borderId="29" xfId="0" applyFont="1" applyFill="1" applyBorder="1" applyAlignment="1">
      <alignment horizontal="center" shrinkToFit="1"/>
    </xf>
    <xf numFmtId="0" fontId="21" fillId="2" borderId="145" xfId="0" applyFont="1" applyFill="1" applyBorder="1" applyAlignment="1">
      <alignment horizontal="center" shrinkToFit="1"/>
    </xf>
    <xf numFmtId="0" fontId="21" fillId="2" borderId="146" xfId="0" applyFont="1" applyFill="1" applyBorder="1" applyAlignment="1">
      <alignment horizontal="center" shrinkToFit="1"/>
    </xf>
    <xf numFmtId="0" fontId="21" fillId="2" borderId="147" xfId="0" applyFont="1" applyFill="1" applyBorder="1" applyAlignment="1">
      <alignment horizontal="center" shrinkToFit="1"/>
    </xf>
    <xf numFmtId="0" fontId="21" fillId="2" borderId="148" xfId="0" applyFont="1" applyFill="1" applyBorder="1" applyAlignment="1">
      <alignment horizontal="center" shrinkToFit="1"/>
    </xf>
    <xf numFmtId="0" fontId="1" fillId="0" borderId="135" xfId="0" applyFont="1" applyBorder="1"/>
    <xf numFmtId="0" fontId="1" fillId="0" borderId="136" xfId="0" applyFont="1" applyBorder="1"/>
    <xf numFmtId="0" fontId="38" fillId="0" borderId="149" xfId="0" applyFont="1" applyBorder="1"/>
    <xf numFmtId="0" fontId="38" fillId="0" borderId="150" xfId="0" applyFont="1" applyBorder="1"/>
    <xf numFmtId="0" fontId="39" fillId="2" borderId="151" xfId="0" applyFont="1" applyFill="1" applyBorder="1" applyAlignment="1">
      <alignment horizontal="center" shrinkToFit="1"/>
    </xf>
    <xf numFmtId="0" fontId="39" fillId="2" borderId="95" xfId="0" applyFont="1" applyFill="1" applyBorder="1" applyAlignment="1">
      <alignment horizontal="center" shrinkToFit="1"/>
    </xf>
    <xf numFmtId="0" fontId="29" fillId="2" borderId="30" xfId="0" applyFont="1" applyFill="1" applyBorder="1" applyAlignment="1">
      <alignment horizontal="center" shrinkToFit="1"/>
    </xf>
    <xf numFmtId="0" fontId="29" fillId="2" borderId="78" xfId="0" applyFont="1" applyFill="1" applyBorder="1" applyAlignment="1">
      <alignment horizontal="center" shrinkToFit="1"/>
    </xf>
    <xf numFmtId="0" fontId="32" fillId="2" borderId="152" xfId="0" applyFont="1" applyFill="1" applyBorder="1" applyAlignment="1">
      <alignment horizontal="center" shrinkToFit="1"/>
    </xf>
    <xf numFmtId="0" fontId="32" fillId="2" borderId="138" xfId="0" applyFont="1" applyFill="1" applyBorder="1" applyAlignment="1">
      <alignment horizontal="center" shrinkToFit="1"/>
    </xf>
    <xf numFmtId="0" fontId="33" fillId="2" borderId="29" xfId="0" applyFont="1" applyFill="1" applyBorder="1" applyAlignment="1">
      <alignment horizontal="center" shrinkToFit="1"/>
    </xf>
    <xf numFmtId="0" fontId="33" fillId="2" borderId="87" xfId="0" applyFont="1" applyFill="1" applyBorder="1" applyAlignment="1">
      <alignment horizontal="center" shrinkToFit="1"/>
    </xf>
    <xf numFmtId="0" fontId="22" fillId="2" borderId="93" xfId="0" applyFont="1" applyFill="1" applyBorder="1" applyAlignment="1">
      <alignment horizontal="center" shrinkToFit="1"/>
    </xf>
    <xf numFmtId="0" fontId="31" fillId="2" borderId="12" xfId="0" applyFont="1" applyFill="1" applyBorder="1" applyAlignment="1">
      <alignment horizontal="center" shrinkToFit="1"/>
    </xf>
    <xf numFmtId="0" fontId="21" fillId="2" borderId="13" xfId="0" applyFont="1" applyFill="1" applyBorder="1" applyAlignment="1">
      <alignment horizontal="center" shrinkToFit="1"/>
    </xf>
    <xf numFmtId="0" fontId="32" fillId="2" borderId="22" xfId="0" applyFont="1" applyFill="1" applyBorder="1" applyAlignment="1">
      <alignment horizontal="center" shrinkToFit="1"/>
    </xf>
    <xf numFmtId="0" fontId="30" fillId="2" borderId="56" xfId="0" applyFont="1" applyFill="1" applyBorder="1" applyAlignment="1">
      <alignment horizontal="center" shrinkToFit="1"/>
    </xf>
    <xf numFmtId="0" fontId="30" fillId="2" borderId="95" xfId="0" applyFont="1" applyFill="1" applyBorder="1" applyAlignment="1">
      <alignment horizontal="center" shrinkToFit="1"/>
    </xf>
    <xf numFmtId="0" fontId="40" fillId="2" borderId="109" xfId="0" applyFont="1" applyFill="1" applyBorder="1" applyAlignment="1">
      <alignment horizontal="center" shrinkToFit="1"/>
    </xf>
    <xf numFmtId="0" fontId="41" fillId="2" borderId="29" xfId="0" applyFont="1" applyFill="1" applyBorder="1" applyAlignment="1">
      <alignment horizontal="center" shrinkToFit="1"/>
    </xf>
    <xf numFmtId="0" fontId="41" fillId="2" borderId="141" xfId="0" applyFont="1" applyFill="1" applyBorder="1" applyAlignment="1">
      <alignment horizontal="center" shrinkToFit="1"/>
    </xf>
    <xf numFmtId="0" fontId="40" fillId="2" borderId="29" xfId="0" applyFont="1" applyFill="1" applyBorder="1" applyAlignment="1">
      <alignment horizontal="center" shrinkToFit="1"/>
    </xf>
    <xf numFmtId="0" fontId="40" fillId="2" borderId="85" xfId="0" applyFont="1" applyFill="1" applyBorder="1" applyAlignment="1">
      <alignment horizontal="center" shrinkToFit="1"/>
    </xf>
    <xf numFmtId="0" fontId="40" fillId="2" borderId="114" xfId="0" applyFont="1" applyFill="1" applyBorder="1" applyAlignment="1">
      <alignment horizontal="center" shrinkToFit="1"/>
    </xf>
    <xf numFmtId="0" fontId="40" fillId="2" borderId="87" xfId="0" applyFont="1" applyFill="1" applyBorder="1" applyAlignment="1">
      <alignment horizontal="center" shrinkToFit="1"/>
    </xf>
    <xf numFmtId="0" fontId="42" fillId="0" borderId="0" xfId="0" applyFont="1"/>
    <xf numFmtId="0" fontId="42" fillId="0" borderId="0" xfId="0" applyFont="1" applyAlignment="1">
      <alignment horizontal="left"/>
    </xf>
    <xf numFmtId="0" fontId="43" fillId="2" borderId="12" xfId="0" applyFont="1" applyFill="1" applyBorder="1" applyAlignment="1">
      <alignment horizontal="center" shrinkToFit="1"/>
    </xf>
    <xf numFmtId="0" fontId="21" fillId="2" borderId="153" xfId="0" applyFont="1" applyFill="1" applyBorder="1" applyAlignment="1">
      <alignment horizontal="center" shrinkToFit="1"/>
    </xf>
    <xf numFmtId="0" fontId="21" fillId="2" borderId="115" xfId="0" applyFont="1" applyFill="1" applyBorder="1" applyAlignment="1">
      <alignment horizontal="center" shrinkToFit="1"/>
    </xf>
    <xf numFmtId="0" fontId="21" fillId="2" borderId="122" xfId="0" applyFont="1" applyFill="1" applyBorder="1" applyAlignment="1">
      <alignment horizontal="center" shrinkToFit="1"/>
    </xf>
    <xf numFmtId="0" fontId="21" fillId="2" borderId="154" xfId="0" applyFont="1" applyFill="1" applyBorder="1" applyAlignment="1">
      <alignment horizontal="center" shrinkToFit="1"/>
    </xf>
    <xf numFmtId="0" fontId="21" fillId="2" borderId="123" xfId="0" applyFont="1" applyFill="1" applyBorder="1" applyAlignment="1">
      <alignment horizontal="center" shrinkToFit="1"/>
    </xf>
    <xf numFmtId="0" fontId="21" fillId="2" borderId="125" xfId="0" applyFont="1" applyFill="1" applyBorder="1" applyAlignment="1">
      <alignment horizontal="center" shrinkToFit="1"/>
    </xf>
    <xf numFmtId="0" fontId="21" fillId="2" borderId="97" xfId="0" applyFont="1" applyFill="1" applyBorder="1" applyAlignment="1">
      <alignment horizontal="center" shrinkToFit="1"/>
    </xf>
    <xf numFmtId="0" fontId="21" fillId="2" borderId="99" xfId="0" applyFont="1" applyFill="1" applyBorder="1" applyAlignment="1">
      <alignment horizontal="center" shrinkToFit="1"/>
    </xf>
    <xf numFmtId="0" fontId="21" fillId="2" borderId="100" xfId="0" applyFont="1" applyFill="1" applyBorder="1" applyAlignment="1">
      <alignment horizontal="center" shrinkToFit="1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4" fillId="2" borderId="0" xfId="0" applyFont="1" applyFill="1" applyAlignment="1">
      <alignment horizontal="center" vertical="center"/>
    </xf>
    <xf numFmtId="0" fontId="46" fillId="2" borderId="0" xfId="0" applyFont="1" applyFill="1" applyAlignment="1">
      <alignment horizontal="center"/>
    </xf>
    <xf numFmtId="164" fontId="47" fillId="2" borderId="0" xfId="0" applyNumberFormat="1" applyFont="1" applyFill="1" applyBorder="1" applyAlignment="1">
      <alignment horizontal="center"/>
    </xf>
    <xf numFmtId="0" fontId="46" fillId="2" borderId="0" xfId="0" applyFont="1" applyFill="1" applyBorder="1" applyAlignment="1">
      <alignment horizontal="center"/>
    </xf>
    <xf numFmtId="0" fontId="46" fillId="2" borderId="0" xfId="0" applyFont="1" applyFill="1" applyBorder="1" applyAlignment="1">
      <alignment horizontal="center" shrinkToFit="1"/>
    </xf>
    <xf numFmtId="14" fontId="46" fillId="2" borderId="0" xfId="0" applyNumberFormat="1" applyFont="1" applyFill="1" applyBorder="1" applyAlignment="1">
      <alignment horizontal="center"/>
    </xf>
    <xf numFmtId="0" fontId="48" fillId="2" borderId="155" xfId="0" applyFont="1" applyFill="1" applyBorder="1" applyAlignment="1">
      <alignment horizontal="center" shrinkToFit="1"/>
    </xf>
    <xf numFmtId="0" fontId="48" fillId="2" borderId="156" xfId="0" applyFont="1" applyFill="1" applyBorder="1" applyAlignment="1">
      <alignment horizontal="center" shrinkToFit="1"/>
    </xf>
    <xf numFmtId="0" fontId="46" fillId="2" borderId="157" xfId="0" applyFont="1" applyFill="1" applyBorder="1" applyAlignment="1">
      <alignment horizontal="center" shrinkToFit="1"/>
    </xf>
    <xf numFmtId="0" fontId="46" fillId="2" borderId="156" xfId="0" applyFont="1" applyFill="1" applyBorder="1" applyAlignment="1">
      <alignment horizontal="center" shrinkToFit="1"/>
    </xf>
    <xf numFmtId="0" fontId="46" fillId="2" borderId="158" xfId="0" applyFont="1" applyFill="1" applyBorder="1" applyAlignment="1">
      <alignment horizontal="center" shrinkToFit="1"/>
    </xf>
    <xf numFmtId="0" fontId="46" fillId="2" borderId="1" xfId="0" applyFont="1" applyFill="1" applyBorder="1" applyAlignment="1">
      <alignment horizontal="center" shrinkToFit="1"/>
    </xf>
    <xf numFmtId="0" fontId="46" fillId="2" borderId="6" xfId="0" applyFont="1" applyFill="1" applyBorder="1" applyAlignment="1">
      <alignment horizontal="center" shrinkToFit="1"/>
    </xf>
    <xf numFmtId="0" fontId="46" fillId="2" borderId="7" xfId="0" applyFont="1" applyFill="1" applyBorder="1" applyAlignment="1">
      <alignment horizontal="center" shrinkToFit="1"/>
    </xf>
    <xf numFmtId="0" fontId="49" fillId="2" borderId="50" xfId="0" applyFont="1" applyFill="1" applyBorder="1" applyAlignment="1">
      <alignment horizontal="center" shrinkToFit="1"/>
    </xf>
    <xf numFmtId="0" fontId="49" fillId="2" borderId="46" xfId="0" applyFont="1" applyFill="1" applyBorder="1" applyAlignment="1">
      <alignment horizontal="center" shrinkToFit="1"/>
    </xf>
    <xf numFmtId="0" fontId="49" fillId="2" borderId="52" xfId="0" applyFont="1" applyFill="1" applyBorder="1" applyAlignment="1">
      <alignment horizontal="center" shrinkToFit="1"/>
    </xf>
    <xf numFmtId="0" fontId="50" fillId="2" borderId="159" xfId="0" applyFont="1" applyFill="1" applyBorder="1" applyAlignment="1">
      <alignment horizontal="center" shrinkToFit="1"/>
    </xf>
    <xf numFmtId="0" fontId="47" fillId="2" borderId="78" xfId="0" applyFont="1" applyFill="1" applyBorder="1" applyAlignment="1">
      <alignment horizontal="center" shrinkToFit="1"/>
    </xf>
    <xf numFmtId="0" fontId="50" fillId="2" borderId="0" xfId="0" applyFont="1" applyFill="1" applyBorder="1" applyAlignment="1">
      <alignment horizontal="center" shrinkToFit="1"/>
    </xf>
    <xf numFmtId="0" fontId="47" fillId="2" borderId="79" xfId="0" applyFont="1" applyFill="1" applyBorder="1" applyAlignment="1">
      <alignment horizontal="center" shrinkToFit="1"/>
    </xf>
    <xf numFmtId="0" fontId="50" fillId="2" borderId="10" xfId="0" applyFont="1" applyFill="1" applyBorder="1" applyAlignment="1">
      <alignment horizontal="center" shrinkToFit="1"/>
    </xf>
    <xf numFmtId="0" fontId="51" fillId="2" borderId="0" xfId="0" applyFont="1" applyFill="1" applyBorder="1" applyAlignment="1">
      <alignment horizontal="center" shrinkToFit="1"/>
    </xf>
    <xf numFmtId="0" fontId="47" fillId="2" borderId="0" xfId="0" applyFont="1" applyFill="1" applyBorder="1" applyAlignment="1">
      <alignment horizontal="center" shrinkToFit="1"/>
    </xf>
    <xf numFmtId="0" fontId="47" fillId="2" borderId="12" xfId="0" applyFont="1" applyFill="1" applyBorder="1" applyAlignment="1">
      <alignment horizontal="center" shrinkToFit="1"/>
    </xf>
    <xf numFmtId="49" fontId="47" fillId="2" borderId="12" xfId="0" applyNumberFormat="1" applyFont="1" applyFill="1" applyBorder="1" applyAlignment="1">
      <alignment horizontal="center" shrinkToFit="1"/>
    </xf>
    <xf numFmtId="49" fontId="47" fillId="2" borderId="13" xfId="0" applyNumberFormat="1" applyFont="1" applyFill="1" applyBorder="1" applyAlignment="1">
      <alignment horizontal="center" shrinkToFit="1"/>
    </xf>
    <xf numFmtId="0" fontId="50" fillId="2" borderId="159" xfId="0" applyNumberFormat="1" applyFont="1" applyFill="1" applyBorder="1" applyAlignment="1">
      <alignment horizontal="center" vertical="center" shrinkToFit="1"/>
    </xf>
    <xf numFmtId="0" fontId="47" fillId="2" borderId="0" xfId="0" applyNumberFormat="1" applyFont="1" applyFill="1" applyBorder="1" applyAlignment="1">
      <alignment horizontal="center" vertical="center" shrinkToFit="1"/>
    </xf>
    <xf numFmtId="0" fontId="46" fillId="2" borderId="160" xfId="0" applyFont="1" applyFill="1" applyBorder="1" applyAlignment="1">
      <alignment horizontal="center" shrinkToFit="1"/>
    </xf>
    <xf numFmtId="0" fontId="46" fillId="2" borderId="31" xfId="0" applyFont="1" applyFill="1" applyBorder="1" applyAlignment="1">
      <alignment horizontal="center" shrinkToFit="1"/>
    </xf>
    <xf numFmtId="0" fontId="46" fillId="2" borderId="129" xfId="0" applyFont="1" applyFill="1" applyBorder="1" applyAlignment="1">
      <alignment horizontal="center" shrinkToFit="1"/>
    </xf>
    <xf numFmtId="0" fontId="46" fillId="2" borderId="130" xfId="0" applyFont="1" applyFill="1" applyBorder="1" applyAlignment="1">
      <alignment horizontal="center" shrinkToFit="1"/>
    </xf>
    <xf numFmtId="0" fontId="46" fillId="2" borderId="16" xfId="0" applyFont="1" applyFill="1" applyBorder="1" applyAlignment="1">
      <alignment horizontal="center" shrinkToFit="1"/>
    </xf>
    <xf numFmtId="0" fontId="46" fillId="2" borderId="161" xfId="0" applyFont="1" applyFill="1" applyBorder="1" applyAlignment="1">
      <alignment horizontal="center" shrinkToFit="1"/>
    </xf>
    <xf numFmtId="0" fontId="46" fillId="2" borderId="14" xfId="0" applyFont="1" applyFill="1" applyBorder="1" applyAlignment="1">
      <alignment horizontal="center" shrinkToFit="1"/>
    </xf>
    <xf numFmtId="0" fontId="52" fillId="2" borderId="54" xfId="0" applyFont="1" applyFill="1" applyBorder="1" applyAlignment="1">
      <alignment horizontal="center" shrinkToFit="1"/>
    </xf>
    <xf numFmtId="0" fontId="46" fillId="2" borderId="82" xfId="0" applyFont="1" applyFill="1" applyBorder="1" applyAlignment="1">
      <alignment horizontal="center" shrinkToFit="1"/>
    </xf>
    <xf numFmtId="0" fontId="46" fillId="2" borderId="146" xfId="0" applyFont="1" applyFill="1" applyBorder="1" applyAlignment="1">
      <alignment horizontal="center" shrinkToFit="1"/>
    </xf>
    <xf numFmtId="0" fontId="46" fillId="2" borderId="132" xfId="0" applyFont="1" applyFill="1" applyBorder="1" applyAlignment="1">
      <alignment horizontal="center" shrinkToFit="1"/>
    </xf>
    <xf numFmtId="0" fontId="46" fillId="2" borderId="54" xfId="0" applyFont="1" applyFill="1" applyBorder="1" applyAlignment="1">
      <alignment horizontal="center" shrinkToFit="1"/>
    </xf>
    <xf numFmtId="0" fontId="46" fillId="2" borderId="18" xfId="0" applyFont="1" applyFill="1" applyBorder="1" applyAlignment="1">
      <alignment horizontal="center" shrinkToFit="1"/>
    </xf>
    <xf numFmtId="0" fontId="48" fillId="2" borderId="162" xfId="0" applyFont="1" applyFill="1" applyBorder="1" applyAlignment="1">
      <alignment horizontal="center" shrinkToFit="1"/>
    </xf>
    <xf numFmtId="0" fontId="48" fillId="2" borderId="85" xfId="0" applyFont="1" applyFill="1" applyBorder="1" applyAlignment="1">
      <alignment horizontal="center" shrinkToFit="1"/>
    </xf>
    <xf numFmtId="0" fontId="46" fillId="2" borderId="30" xfId="0" applyFont="1" applyFill="1" applyBorder="1" applyAlignment="1">
      <alignment horizontal="center" shrinkToFit="1"/>
    </xf>
    <xf numFmtId="0" fontId="46" fillId="2" borderId="86" xfId="0" applyFont="1" applyFill="1" applyBorder="1" applyAlignment="1">
      <alignment horizontal="center" shrinkToFit="1"/>
    </xf>
    <xf numFmtId="0" fontId="53" fillId="2" borderId="0" xfId="0" applyFont="1" applyFill="1" applyBorder="1" applyAlignment="1">
      <alignment horizontal="center" shrinkToFit="1"/>
    </xf>
    <xf numFmtId="0" fontId="53" fillId="2" borderId="86" xfId="0" applyFont="1" applyFill="1" applyBorder="1" applyAlignment="1">
      <alignment horizontal="center" shrinkToFit="1"/>
    </xf>
    <xf numFmtId="0" fontId="53" fillId="2" borderId="87" xfId="0" applyFont="1" applyFill="1" applyBorder="1" applyAlignment="1">
      <alignment horizontal="center" shrinkToFit="1"/>
    </xf>
    <xf numFmtId="0" fontId="53" fillId="2" borderId="26" xfId="0" applyFont="1" applyFill="1" applyBorder="1" applyAlignment="1">
      <alignment horizontal="center" shrinkToFit="1"/>
    </xf>
    <xf numFmtId="0" fontId="53" fillId="2" borderId="89" xfId="0" applyFont="1" applyFill="1" applyBorder="1" applyAlignment="1">
      <alignment horizontal="center" shrinkToFit="1"/>
    </xf>
    <xf numFmtId="0" fontId="54" fillId="2" borderId="0" xfId="0" applyFont="1" applyFill="1" applyBorder="1" applyAlignment="1">
      <alignment horizontal="center" shrinkToFit="1"/>
    </xf>
    <xf numFmtId="0" fontId="54" fillId="2" borderId="90" xfId="0" applyFont="1" applyFill="1" applyBorder="1" applyAlignment="1">
      <alignment horizontal="center" shrinkToFit="1"/>
    </xf>
    <xf numFmtId="0" fontId="55" fillId="2" borderId="30" xfId="0" applyFont="1" applyFill="1" applyBorder="1" applyAlignment="1">
      <alignment horizontal="center" shrinkToFit="1"/>
    </xf>
    <xf numFmtId="0" fontId="55" fillId="2" borderId="86" xfId="0" applyFont="1" applyFill="1" applyBorder="1" applyAlignment="1">
      <alignment horizontal="center" shrinkToFit="1"/>
    </xf>
    <xf numFmtId="0" fontId="56" fillId="2" borderId="30" xfId="0" applyFont="1" applyFill="1" applyBorder="1" applyAlignment="1">
      <alignment horizontal="center" shrinkToFit="1"/>
    </xf>
    <xf numFmtId="0" fontId="56" fillId="2" borderId="86" xfId="0" applyFont="1" applyFill="1" applyBorder="1" applyAlignment="1">
      <alignment horizontal="center" shrinkToFit="1"/>
    </xf>
    <xf numFmtId="0" fontId="56" fillId="2" borderId="58" xfId="0" applyFont="1" applyFill="1" applyBorder="1" applyAlignment="1">
      <alignment horizontal="center" shrinkToFit="1"/>
    </xf>
    <xf numFmtId="49" fontId="57" fillId="2" borderId="78" xfId="0" applyNumberFormat="1" applyFont="1" applyFill="1" applyBorder="1" applyAlignment="1">
      <alignment horizontal="center" shrinkToFit="1"/>
    </xf>
    <xf numFmtId="0" fontId="57" fillId="2" borderId="79" xfId="0" applyFont="1" applyFill="1" applyBorder="1" applyAlignment="1">
      <alignment horizontal="center" shrinkToFit="1"/>
    </xf>
    <xf numFmtId="49" fontId="47" fillId="2" borderId="78" xfId="0" applyNumberFormat="1" applyFont="1" applyFill="1" applyBorder="1" applyAlignment="1">
      <alignment horizontal="center" shrinkToFit="1"/>
    </xf>
    <xf numFmtId="0" fontId="48" fillId="2" borderId="163" xfId="0" applyFont="1" applyFill="1" applyBorder="1" applyAlignment="1">
      <alignment horizontal="center" shrinkToFit="1"/>
    </xf>
    <xf numFmtId="0" fontId="46" fillId="2" borderId="60" xfId="0" applyFont="1" applyFill="1" applyBorder="1" applyAlignment="1">
      <alignment horizontal="center" shrinkToFit="1"/>
    </xf>
    <xf numFmtId="0" fontId="47" fillId="2" borderId="0" xfId="0" applyFont="1" applyFill="1" applyBorder="1" applyAlignment="1">
      <alignment horizontal="center" shrinkToFit="1"/>
    </xf>
    <xf numFmtId="0" fontId="46" fillId="2" borderId="87" xfId="0" applyFont="1" applyFill="1" applyBorder="1" applyAlignment="1">
      <alignment horizontal="center" shrinkToFit="1"/>
    </xf>
    <xf numFmtId="0" fontId="53" fillId="2" borderId="10" xfId="0" applyFont="1" applyFill="1" applyBorder="1" applyAlignment="1">
      <alignment horizontal="center" shrinkToFit="1"/>
    </xf>
    <xf numFmtId="0" fontId="46" fillId="2" borderId="29" xfId="0" applyFont="1" applyFill="1" applyBorder="1" applyAlignment="1">
      <alignment horizontal="center" shrinkToFit="1"/>
    </xf>
    <xf numFmtId="0" fontId="46" fillId="2" borderId="78" xfId="0" applyFont="1" applyFill="1" applyBorder="1" applyAlignment="1">
      <alignment horizontal="center" shrinkToFit="1"/>
    </xf>
    <xf numFmtId="0" fontId="57" fillId="2" borderId="78" xfId="0" applyFont="1" applyFill="1" applyBorder="1" applyAlignment="1">
      <alignment horizontal="center" shrinkToFit="1"/>
    </xf>
    <xf numFmtId="0" fontId="47" fillId="2" borderId="0" xfId="0" applyFont="1" applyFill="1" applyBorder="1" applyAlignment="1">
      <alignment horizontal="center" vertical="center" shrinkToFit="1"/>
    </xf>
    <xf numFmtId="0" fontId="46" fillId="2" borderId="162" xfId="0" applyFont="1" applyFill="1" applyBorder="1" applyAlignment="1">
      <alignment horizontal="center" shrinkToFit="1"/>
    </xf>
    <xf numFmtId="0" fontId="46" fillId="2" borderId="163" xfId="0" applyFont="1" applyFill="1" applyBorder="1" applyAlignment="1">
      <alignment horizontal="center" shrinkToFit="1"/>
    </xf>
    <xf numFmtId="0" fontId="46" fillId="2" borderId="151" xfId="0" applyFont="1" applyFill="1" applyBorder="1" applyAlignment="1">
      <alignment horizontal="center" shrinkToFit="1"/>
    </xf>
    <xf numFmtId="0" fontId="46" fillId="2" borderId="164" xfId="0" applyFont="1" applyFill="1" applyBorder="1" applyAlignment="1">
      <alignment horizontal="center" shrinkToFit="1"/>
    </xf>
    <xf numFmtId="0" fontId="54" fillId="2" borderId="10" xfId="0" applyFont="1" applyFill="1" applyBorder="1" applyAlignment="1">
      <alignment horizontal="center" shrinkToFit="1"/>
    </xf>
    <xf numFmtId="0" fontId="54" fillId="2" borderId="86" xfId="0" applyFont="1" applyFill="1" applyBorder="1" applyAlignment="1">
      <alignment horizontal="center" shrinkToFit="1"/>
    </xf>
    <xf numFmtId="0" fontId="58" fillId="2" borderId="0" xfId="0" applyFont="1" applyFill="1" applyBorder="1" applyAlignment="1">
      <alignment horizontal="center" shrinkToFit="1"/>
    </xf>
    <xf numFmtId="0" fontId="58" fillId="2" borderId="78" xfId="0" applyFont="1" applyFill="1" applyBorder="1" applyAlignment="1">
      <alignment horizontal="center" shrinkToFit="1"/>
    </xf>
    <xf numFmtId="0" fontId="51" fillId="2" borderId="10" xfId="0" applyFont="1" applyFill="1" applyBorder="1" applyAlignment="1">
      <alignment horizontal="center" shrinkToFit="1"/>
    </xf>
    <xf numFmtId="0" fontId="46" fillId="2" borderId="165" xfId="0" applyFont="1" applyFill="1" applyBorder="1" applyAlignment="1">
      <alignment horizontal="center" shrinkToFit="1"/>
    </xf>
    <xf numFmtId="0" fontId="46" fillId="2" borderId="166" xfId="0" applyFont="1" applyFill="1" applyBorder="1" applyAlignment="1">
      <alignment horizontal="center" shrinkToFit="1"/>
    </xf>
    <xf numFmtId="0" fontId="46" fillId="2" borderId="167" xfId="0" applyFont="1" applyFill="1" applyBorder="1" applyAlignment="1">
      <alignment horizontal="center" shrinkToFit="1"/>
    </xf>
    <xf numFmtId="0" fontId="46" fillId="2" borderId="168" xfId="0" applyFont="1" applyFill="1" applyBorder="1" applyAlignment="1">
      <alignment horizontal="center" shrinkToFit="1"/>
    </xf>
    <xf numFmtId="0" fontId="46" fillId="2" borderId="169" xfId="0" applyFont="1" applyFill="1" applyBorder="1" applyAlignment="1">
      <alignment horizontal="center" shrinkToFit="1"/>
    </xf>
    <xf numFmtId="0" fontId="46" fillId="2" borderId="170" xfId="0" applyFont="1" applyFill="1" applyBorder="1" applyAlignment="1">
      <alignment horizontal="center" shrinkToFit="1"/>
    </xf>
    <xf numFmtId="0" fontId="52" fillId="2" borderId="171" xfId="0" applyFont="1" applyFill="1" applyBorder="1" applyAlignment="1">
      <alignment horizontal="center" shrinkToFit="1"/>
    </xf>
    <xf numFmtId="0" fontId="46" fillId="2" borderId="140" xfId="0" applyFont="1" applyFill="1" applyBorder="1" applyAlignment="1">
      <alignment horizontal="center" shrinkToFit="1"/>
    </xf>
    <xf numFmtId="0" fontId="52" fillId="2" borderId="153" xfId="0" applyFont="1" applyFill="1" applyBorder="1" applyAlignment="1">
      <alignment horizontal="center" shrinkToFit="1"/>
    </xf>
    <xf numFmtId="0" fontId="46" fillId="2" borderId="137" xfId="0" applyFont="1" applyFill="1" applyBorder="1" applyAlignment="1">
      <alignment horizontal="center" shrinkToFit="1"/>
    </xf>
    <xf numFmtId="0" fontId="46" fillId="2" borderId="38" xfId="0" applyFont="1" applyFill="1" applyBorder="1" applyAlignment="1">
      <alignment horizontal="center" shrinkToFit="1"/>
    </xf>
    <xf numFmtId="0" fontId="46" fillId="2" borderId="139" xfId="0" applyFont="1" applyFill="1" applyBorder="1" applyAlignment="1">
      <alignment horizontal="center" shrinkToFit="1"/>
    </xf>
    <xf numFmtId="0" fontId="46" fillId="2" borderId="43" xfId="0" applyFont="1" applyFill="1" applyBorder="1" applyAlignment="1">
      <alignment horizontal="center" shrinkToFit="1"/>
    </xf>
    <xf numFmtId="0" fontId="46" fillId="2" borderId="59" xfId="0" applyFont="1" applyFill="1" applyBorder="1" applyAlignment="1">
      <alignment horizontal="center" shrinkToFit="1"/>
    </xf>
    <xf numFmtId="0" fontId="46" fillId="2" borderId="64" xfId="0" applyFont="1" applyFill="1" applyBorder="1" applyAlignment="1">
      <alignment horizontal="center" shrinkToFit="1"/>
    </xf>
    <xf numFmtId="0" fontId="46" fillId="2" borderId="0" xfId="0" applyFont="1" applyFill="1" applyBorder="1" applyAlignment="1">
      <alignment horizontal="center" shrinkToFit="1"/>
    </xf>
    <xf numFmtId="0" fontId="53" fillId="2" borderId="172" xfId="0" applyFont="1" applyFill="1" applyBorder="1" applyAlignment="1">
      <alignment horizontal="center" shrinkToFit="1"/>
    </xf>
    <xf numFmtId="0" fontId="53" fillId="2" borderId="71" xfId="0" applyFont="1" applyFill="1" applyBorder="1" applyAlignment="1">
      <alignment horizontal="center" shrinkToFit="1"/>
    </xf>
    <xf numFmtId="0" fontId="46" fillId="2" borderId="173" xfId="0" applyFont="1" applyFill="1" applyBorder="1" applyAlignment="1">
      <alignment horizontal="center" shrinkToFit="1"/>
    </xf>
    <xf numFmtId="0" fontId="46" fillId="2" borderId="174" xfId="0" applyFont="1" applyFill="1" applyBorder="1" applyAlignment="1">
      <alignment horizontal="center" shrinkToFit="1"/>
    </xf>
    <xf numFmtId="0" fontId="47" fillId="2" borderId="175" xfId="0" applyFont="1" applyFill="1" applyBorder="1" applyAlignment="1">
      <alignment horizontal="center" shrinkToFit="1"/>
    </xf>
    <xf numFmtId="0" fontId="46" fillId="2" borderId="66" xfId="0" applyFont="1" applyFill="1" applyBorder="1" applyAlignment="1">
      <alignment horizontal="center" shrinkToFit="1"/>
    </xf>
    <xf numFmtId="0" fontId="46" fillId="2" borderId="176" xfId="0" applyFont="1" applyFill="1" applyBorder="1" applyAlignment="1">
      <alignment horizontal="center" shrinkToFit="1"/>
    </xf>
    <xf numFmtId="0" fontId="46" fillId="2" borderId="159" xfId="0" applyFont="1" applyFill="1" applyBorder="1" applyAlignment="1">
      <alignment horizontal="center" shrinkToFit="1"/>
    </xf>
    <xf numFmtId="0" fontId="55" fillId="2" borderId="48" xfId="0" applyFont="1" applyFill="1" applyBorder="1" applyAlignment="1">
      <alignment horizontal="center" shrinkToFit="1"/>
    </xf>
    <xf numFmtId="0" fontId="55" fillId="2" borderId="6" xfId="0" applyFont="1" applyFill="1" applyBorder="1" applyAlignment="1">
      <alignment horizontal="center" shrinkToFit="1"/>
    </xf>
    <xf numFmtId="0" fontId="46" fillId="2" borderId="49" xfId="0" applyFont="1" applyFill="1" applyBorder="1" applyAlignment="1">
      <alignment horizontal="center" shrinkToFit="1"/>
    </xf>
    <xf numFmtId="0" fontId="46" fillId="2" borderId="46" xfId="0" applyFont="1" applyFill="1" applyBorder="1" applyAlignment="1">
      <alignment horizontal="center" shrinkToFit="1"/>
    </xf>
    <xf numFmtId="0" fontId="54" fillId="2" borderId="3" xfId="0" applyFont="1" applyFill="1" applyBorder="1" applyAlignment="1">
      <alignment horizontal="center" shrinkToFit="1"/>
    </xf>
    <xf numFmtId="0" fontId="54" fillId="2" borderId="2" xfId="0" applyFont="1" applyFill="1" applyBorder="1" applyAlignment="1">
      <alignment horizontal="center" shrinkToFit="1"/>
    </xf>
    <xf numFmtId="0" fontId="54" fillId="2" borderId="5" xfId="0" applyFont="1" applyFill="1" applyBorder="1" applyAlignment="1">
      <alignment horizontal="center" shrinkToFit="1"/>
    </xf>
    <xf numFmtId="49" fontId="57" fillId="2" borderId="12" xfId="0" applyNumberFormat="1" applyFont="1" applyFill="1" applyBorder="1" applyAlignment="1">
      <alignment horizontal="center" shrinkToFit="1"/>
    </xf>
    <xf numFmtId="0" fontId="47" fillId="2" borderId="13" xfId="0" applyFont="1" applyFill="1" applyBorder="1" applyAlignment="1">
      <alignment horizontal="center" shrinkToFit="1"/>
    </xf>
    <xf numFmtId="0" fontId="46" fillId="2" borderId="159" xfId="0" applyFont="1" applyFill="1" applyBorder="1" applyAlignment="1">
      <alignment horizontal="center" vertical="center" shrinkToFit="1"/>
    </xf>
    <xf numFmtId="0" fontId="46" fillId="2" borderId="131" xfId="0" applyFont="1" applyFill="1" applyBorder="1" applyAlignment="1">
      <alignment horizontal="center" shrinkToFit="1"/>
    </xf>
    <xf numFmtId="0" fontId="46" fillId="2" borderId="177" xfId="0" applyFont="1" applyFill="1" applyBorder="1" applyAlignment="1">
      <alignment horizontal="center" shrinkToFit="1"/>
    </xf>
    <xf numFmtId="0" fontId="46" fillId="2" borderId="53" xfId="0" applyFont="1" applyFill="1" applyBorder="1" applyAlignment="1">
      <alignment horizontal="center" shrinkToFit="1"/>
    </xf>
    <xf numFmtId="0" fontId="53" fillId="2" borderId="178" xfId="0" applyFont="1" applyFill="1" applyBorder="1" applyAlignment="1">
      <alignment horizontal="center" shrinkToFit="1"/>
    </xf>
    <xf numFmtId="0" fontId="53" fillId="2" borderId="59" xfId="0" applyFont="1" applyFill="1" applyBorder="1" applyAlignment="1">
      <alignment horizontal="center" shrinkToFit="1"/>
    </xf>
    <xf numFmtId="0" fontId="46" fillId="2" borderId="152" xfId="0" applyFont="1" applyFill="1" applyBorder="1" applyAlignment="1">
      <alignment horizontal="center" shrinkToFit="1"/>
    </xf>
    <xf numFmtId="0" fontId="46" fillId="2" borderId="150" xfId="0" applyFont="1" applyFill="1" applyBorder="1" applyAlignment="1">
      <alignment horizontal="center" shrinkToFit="1"/>
    </xf>
    <xf numFmtId="0" fontId="48" fillId="2" borderId="30" xfId="0" applyFont="1" applyFill="1" applyBorder="1" applyAlignment="1">
      <alignment horizontal="center" shrinkToFit="1"/>
    </xf>
    <xf numFmtId="0" fontId="55" fillId="2" borderId="57" xfId="0" applyFont="1" applyFill="1" applyBorder="1" applyAlignment="1">
      <alignment horizontal="center" shrinkToFit="1"/>
    </xf>
    <xf numFmtId="0" fontId="55" fillId="2" borderId="141" xfId="0" applyFont="1" applyFill="1" applyBorder="1" applyAlignment="1">
      <alignment horizontal="center" shrinkToFit="1"/>
    </xf>
    <xf numFmtId="0" fontId="46" fillId="2" borderId="85" xfId="0" applyFont="1" applyFill="1" applyBorder="1" applyAlignment="1">
      <alignment horizontal="center" shrinkToFit="1"/>
    </xf>
    <xf numFmtId="0" fontId="54" fillId="2" borderId="55" xfId="0" applyFont="1" applyFill="1" applyBorder="1" applyAlignment="1">
      <alignment horizontal="center" shrinkToFit="1"/>
    </xf>
    <xf numFmtId="0" fontId="54" fillId="2" borderId="25" xfId="0" applyFont="1" applyFill="1" applyBorder="1" applyAlignment="1">
      <alignment horizontal="center" shrinkToFit="1"/>
    </xf>
    <xf numFmtId="0" fontId="50" fillId="2" borderId="93" xfId="0" applyFont="1" applyFill="1" applyBorder="1" applyAlignment="1">
      <alignment horizontal="center" shrinkToFit="1"/>
    </xf>
    <xf numFmtId="0" fontId="57" fillId="2" borderId="12" xfId="0" applyFont="1" applyFill="1" applyBorder="1" applyAlignment="1">
      <alignment horizontal="center" shrinkToFit="1"/>
    </xf>
    <xf numFmtId="0" fontId="46" fillId="2" borderId="79" xfId="0" applyFont="1" applyFill="1" applyBorder="1" applyAlignment="1">
      <alignment horizontal="center" shrinkToFit="1"/>
    </xf>
    <xf numFmtId="0" fontId="53" fillId="2" borderId="117" xfId="0" applyFont="1" applyFill="1" applyBorder="1" applyAlignment="1">
      <alignment horizontal="center" shrinkToFit="1"/>
    </xf>
    <xf numFmtId="0" fontId="46" fillId="2" borderId="118" xfId="0" applyFont="1" applyFill="1" applyBorder="1" applyAlignment="1">
      <alignment horizontal="center" shrinkToFit="1"/>
    </xf>
    <xf numFmtId="0" fontId="48" fillId="2" borderId="152" xfId="0" applyFont="1" applyFill="1" applyBorder="1" applyAlignment="1">
      <alignment horizontal="center" shrinkToFit="1"/>
    </xf>
    <xf numFmtId="0" fontId="46" fillId="2" borderId="179" xfId="0" applyFont="1" applyFill="1" applyBorder="1" applyAlignment="1">
      <alignment horizontal="center" shrinkToFit="1"/>
    </xf>
    <xf numFmtId="0" fontId="46" fillId="2" borderId="58" xfId="0" applyFont="1" applyFill="1" applyBorder="1" applyAlignment="1">
      <alignment horizontal="center" shrinkToFit="1"/>
    </xf>
    <xf numFmtId="0" fontId="53" fillId="2" borderId="12" xfId="0" applyFont="1" applyFill="1" applyBorder="1" applyAlignment="1">
      <alignment horizontal="center" shrinkToFit="1"/>
    </xf>
    <xf numFmtId="0" fontId="46" fillId="2" borderId="97" xfId="0" applyFont="1" applyFill="1" applyBorder="1" applyAlignment="1">
      <alignment horizontal="center" shrinkToFit="1"/>
    </xf>
    <xf numFmtId="0" fontId="46" fillId="2" borderId="180" xfId="0" applyFont="1" applyFill="1" applyBorder="1" applyAlignment="1">
      <alignment horizontal="center" shrinkToFit="1"/>
    </xf>
    <xf numFmtId="0" fontId="46" fillId="2" borderId="35" xfId="0" applyFont="1" applyFill="1" applyBorder="1" applyAlignment="1">
      <alignment horizontal="center" shrinkToFit="1"/>
    </xf>
    <xf numFmtId="0" fontId="46" fillId="2" borderId="42" xfId="0" applyFont="1" applyFill="1" applyBorder="1" applyAlignment="1">
      <alignment horizontal="center" shrinkToFit="1"/>
    </xf>
    <xf numFmtId="0" fontId="59" fillId="2" borderId="38" xfId="0" applyFont="1" applyFill="1" applyBorder="1" applyAlignment="1">
      <alignment horizontal="center" shrinkToFit="1"/>
    </xf>
    <xf numFmtId="0" fontId="46" fillId="2" borderId="40" xfId="0" applyFont="1" applyFill="1" applyBorder="1" applyAlignment="1">
      <alignment horizontal="center" shrinkToFit="1"/>
    </xf>
    <xf numFmtId="0" fontId="0" fillId="0" borderId="0" xfId="0" applyFont="1" applyBorder="1" applyAlignment="1">
      <alignment horizontal="center"/>
    </xf>
  </cellXfs>
  <cellStyles count="1">
    <cellStyle name="Normal" xfId="0" builtinId="0"/>
  </cellStyles>
  <dxfs count="45"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 patternType="solid">
          <bgColor theme="0" tint="-0.149937437055574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0005;&#33041;&#36164;&#26009;&#22791;&#20221;TOPT\&#26426;&#20301;&#34920;\B&#36710;&#38388;&#26426;&#20301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&#194;N%20TAN\M&#227;%20m&#225;y%20c&#225;c%20t&#7847;ng%20ghi%20ch&#250;%20l&#7895;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0005;&#33041;&#36164;&#26009;&#22791;&#20221;TOPT\&#26426;&#20301;&#34920;\C&#36710;&#38388;&#26426;&#20301;&#34920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0005;&#33041;&#36164;&#26009;&#22791;&#20221;TOPT\&#26426;&#20301;&#34920;\D&#36710;&#38388;&#26426;&#20301;&#3492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0005;&#33041;&#36164;&#26009;&#22791;&#20221;TOPT\&#26426;&#20301;&#34920;\E&#36710;&#38388;&#26426;&#20301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二楼B车间 "/>
      <sheetName val="Sheet1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二楼B车间"/>
      <sheetName val="五楼"/>
      <sheetName val="三楼C车间"/>
      <sheetName val="mã vải "/>
      <sheetName val="Sheet1"/>
      <sheetName val="máy theo mã vải"/>
      <sheetName val="四楼D车间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車間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四楼D车间"/>
      <sheetName val="Sheet1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车间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Views>
    <sheetView tabSelected="1" workbookViewId="0">
      <selection activeCell="W14" sqref="W14"/>
    </sheetView>
  </sheetViews>
  <sheetFormatPr defaultColWidth="9.109375" defaultRowHeight="14.4"/>
  <cols>
    <col min="1" max="21" width="6.109375" style="2" customWidth="1"/>
    <col min="22" max="25" width="9.109375" style="2"/>
    <col min="26" max="26" width="11.88671875" style="2" customWidth="1"/>
    <col min="27" max="27" width="12.88671875" style="2" customWidth="1"/>
    <col min="28" max="16384" width="9.109375" style="2"/>
  </cols>
  <sheetData>
    <row r="1" spans="1:27" ht="30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7" ht="16.2" thickBot="1">
      <c r="A2" s="3"/>
      <c r="B2" s="3"/>
      <c r="C2" s="4"/>
      <c r="D2" s="4"/>
      <c r="E2" s="4"/>
      <c r="F2" s="4"/>
      <c r="G2" s="3"/>
      <c r="H2" s="3"/>
      <c r="I2" s="3"/>
      <c r="J2" s="5"/>
      <c r="K2" s="6"/>
      <c r="L2" s="3"/>
      <c r="M2" s="3"/>
      <c r="N2" s="3"/>
      <c r="O2" s="3"/>
      <c r="P2" s="3"/>
      <c r="Q2" s="3"/>
      <c r="R2" s="7">
        <f ca="1">NOW()</f>
        <v>45536.573097337961</v>
      </c>
      <c r="S2" s="7"/>
      <c r="T2" s="7"/>
      <c r="U2" s="7"/>
    </row>
    <row r="3" spans="1:27" ht="15.6">
      <c r="A3" s="8" t="s">
        <v>1</v>
      </c>
      <c r="B3" s="9"/>
      <c r="C3" s="10" t="s">
        <v>1</v>
      </c>
      <c r="D3" s="9"/>
      <c r="E3" s="11" t="s">
        <v>2</v>
      </c>
      <c r="F3" s="12"/>
      <c r="G3" s="13" t="s">
        <v>3</v>
      </c>
      <c r="H3" s="14"/>
      <c r="I3" s="13" t="s">
        <v>3</v>
      </c>
      <c r="J3" s="15"/>
      <c r="K3" s="6"/>
      <c r="L3" s="16"/>
      <c r="M3" s="17"/>
      <c r="N3" s="10" t="s">
        <v>1</v>
      </c>
      <c r="O3" s="9"/>
      <c r="P3" s="18" t="s">
        <v>1</v>
      </c>
      <c r="Q3" s="19"/>
      <c r="R3" s="18" t="s">
        <v>1</v>
      </c>
      <c r="S3" s="19"/>
      <c r="T3" s="18" t="s">
        <v>1</v>
      </c>
      <c r="U3" s="20"/>
      <c r="V3" s="21" t="s">
        <v>4</v>
      </c>
    </row>
    <row r="4" spans="1:27" ht="15.6">
      <c r="A4" s="22" t="s">
        <v>5</v>
      </c>
      <c r="B4" s="23" t="s">
        <v>6</v>
      </c>
      <c r="C4" s="24" t="s">
        <v>5</v>
      </c>
      <c r="D4" s="25" t="s">
        <v>7</v>
      </c>
      <c r="E4" s="24" t="s">
        <v>5</v>
      </c>
      <c r="F4" s="25" t="s">
        <v>8</v>
      </c>
      <c r="G4" s="24" t="s">
        <v>5</v>
      </c>
      <c r="H4" s="25" t="s">
        <v>9</v>
      </c>
      <c r="I4" s="24" t="s">
        <v>5</v>
      </c>
      <c r="J4" s="26" t="s">
        <v>10</v>
      </c>
      <c r="K4" s="6"/>
      <c r="L4" s="22" t="s">
        <v>5</v>
      </c>
      <c r="M4" s="25" t="s">
        <v>11</v>
      </c>
      <c r="N4" s="24" t="s">
        <v>5</v>
      </c>
      <c r="O4" s="25" t="s">
        <v>12</v>
      </c>
      <c r="P4" s="24" t="s">
        <v>5</v>
      </c>
      <c r="Q4" s="25" t="s">
        <v>13</v>
      </c>
      <c r="R4" s="24" t="s">
        <v>5</v>
      </c>
      <c r="S4" s="27" t="s">
        <v>14</v>
      </c>
      <c r="T4" s="24" t="s">
        <v>5</v>
      </c>
      <c r="U4" s="28" t="s">
        <v>15</v>
      </c>
      <c r="V4" s="29" t="s">
        <v>16</v>
      </c>
    </row>
    <row r="5" spans="1:27" ht="15.6">
      <c r="A5" s="30" t="str">
        <f>IF(ISNA(VLOOKUP("*"&amp;B4&amp;"*",[1]Sheet1!$A$1:$F$93,5,FALSE)),"",IF(VLOOKUP("*"&amp;B4&amp;"*",[1]Sheet1!$A$1:$F$93,5,FALSE)="",MID(VLOOKUP("*"&amp;B4&amp;"*",[1]Sheet1!$A$1:$F$93,4,FALSE),5,8)&amp;VLOOKUP("*"&amp;B4&amp;"*",[1]Sheet1!$A$1:$F$93,6,FALSE),VLOOKUP("*"&amp;B4&amp;"*",[1]Sheet1!$A$1:$F$93,5,FALSE)&amp;VLOOKUP("*"&amp;B4&amp;"*",[1]Sheet1!$A$1:$F$93,6,FALSE)))</f>
        <v/>
      </c>
      <c r="B5" s="31"/>
      <c r="C5" s="30" t="str">
        <f>IF(ISNA(VLOOKUP("*"&amp;D4&amp;"*",[1]Sheet1!$A$1:$F$93,5,FALSE)),"",IF(VLOOKUP("*"&amp;D4&amp;"*",[1]Sheet1!$A$1:$F$93,5,FALSE)="",MID(VLOOKUP("*"&amp;D4&amp;"*",[1]Sheet1!$A$1:$F$93,4,FALSE),5,8)&amp;VLOOKUP("*"&amp;D4&amp;"*",[1]Sheet1!$A$1:$F$93,6,FALSE),VLOOKUP("*"&amp;D4&amp;"*",[1]Sheet1!$A$1:$F$93,5,FALSE)&amp;VLOOKUP("*"&amp;D4&amp;"*",[1]Sheet1!$A$1:$F$93,6,FALSE)))</f>
        <v/>
      </c>
      <c r="D5" s="31"/>
      <c r="E5" s="30" t="str">
        <f>IF(ISNA(VLOOKUP("*"&amp;F4&amp;"*",[1]Sheet1!$A$1:$F$93,5,FALSE)),"",IF(VLOOKUP("*"&amp;F4&amp;"*",[1]Sheet1!$A$1:$F$93,5,FALSE)="",MID(VLOOKUP("*"&amp;F4&amp;"*",[1]Sheet1!$A$1:$F$93,4,FALSE),5,8)&amp;VLOOKUP("*"&amp;F4&amp;"*",[1]Sheet1!$A$1:$F$93,6,FALSE),VLOOKUP("*"&amp;F4&amp;"*",[1]Sheet1!$A$1:$F$93,5,FALSE)&amp;VLOOKUP("*"&amp;F4&amp;"*",[1]Sheet1!$A$1:$F$93,6,FALSE)))</f>
        <v/>
      </c>
      <c r="F5" s="31"/>
      <c r="G5" s="30" t="str">
        <f>IF(ISNA(VLOOKUP("*"&amp;H4&amp;"*",[1]Sheet1!$A$1:$F$93,5,FALSE)),"",IF(VLOOKUP("*"&amp;H4&amp;"*",[1]Sheet1!$A$1:$F$93,5,FALSE)="",MID(VLOOKUP("*"&amp;H4&amp;"*",[1]Sheet1!$A$1:$F$93,4,FALSE),5,8)&amp;VLOOKUP("*"&amp;H4&amp;"*",[1]Sheet1!$A$1:$F$93,6,FALSE),VLOOKUP("*"&amp;H4&amp;"*",[1]Sheet1!$A$1:$F$93,5,FALSE)&amp;VLOOKUP("*"&amp;H4&amp;"*",[1]Sheet1!$A$1:$F$93,6,FALSE)))</f>
        <v/>
      </c>
      <c r="H5" s="31"/>
      <c r="I5" s="30" t="str">
        <f>IF(ISNA(VLOOKUP("*"&amp;J4&amp;"*",[1]Sheet1!$A$1:$F$93,5,FALSE)),"",IF(VLOOKUP("*"&amp;J4&amp;"*",[1]Sheet1!$A$1:$F$93,5,FALSE)="",MID(VLOOKUP("*"&amp;J4&amp;"*",[1]Sheet1!$A$1:$F$93,4,FALSE),5,8)&amp;VLOOKUP("*"&amp;J4&amp;"*",[1]Sheet1!$A$1:$F$93,6,FALSE),VLOOKUP("*"&amp;J4&amp;"*",[1]Sheet1!$A$1:$F$93,5,FALSE)&amp;VLOOKUP("*"&amp;J4&amp;"*",[1]Sheet1!$A$1:$F$93,6,FALSE)))</f>
        <v/>
      </c>
      <c r="J5" s="31"/>
      <c r="K5" s="6"/>
      <c r="L5" s="30" t="str">
        <f>IF(ISNA(VLOOKUP("*"&amp;M4&amp;"*",[1]Sheet1!$A$1:$F$93,5,FALSE)),"",IF(VLOOKUP("*"&amp;M4&amp;"*",[1]Sheet1!$A$1:$F$93,5,FALSE)="",MID(VLOOKUP("*"&amp;M4&amp;"*",[1]Sheet1!$A$1:$F$93,4,FALSE),5,8)&amp;VLOOKUP("*"&amp;M4&amp;"*",[1]Sheet1!$A$1:$F$93,6,FALSE),VLOOKUP("*"&amp;M4&amp;"*",[1]Sheet1!$A$1:$F$93,5,FALSE)&amp;VLOOKUP("*"&amp;M4&amp;"*",[1]Sheet1!$A$1:$F$93,6,FALSE)))</f>
        <v/>
      </c>
      <c r="M5" s="31"/>
      <c r="N5" s="30" t="str">
        <f>IF(ISNA(VLOOKUP("*"&amp;O4&amp;"*",[1]Sheet1!$A$1:$F$93,5,FALSE)),"",IF(VLOOKUP("*"&amp;O4&amp;"*",[1]Sheet1!$A$1:$F$93,5,FALSE)="",MID(VLOOKUP("*"&amp;O4&amp;"*",[1]Sheet1!$A$1:$F$93,4,FALSE),5,8)&amp;VLOOKUP("*"&amp;O4&amp;"*",[1]Sheet1!$A$1:$F$93,6,FALSE),VLOOKUP("*"&amp;O4&amp;"*",[1]Sheet1!$A$1:$F$93,5,FALSE)&amp;VLOOKUP("*"&amp;O4&amp;"*",[1]Sheet1!$A$1:$F$93,6,FALSE)))</f>
        <v/>
      </c>
      <c r="O5" s="31"/>
      <c r="P5" s="30" t="str">
        <f>IF(ISNA(VLOOKUP("*"&amp;Q4&amp;"*",[1]Sheet1!$A$1:$F$93,5,FALSE)),"",IF(VLOOKUP("*"&amp;Q4&amp;"*",[1]Sheet1!$A$1:$F$93,5,FALSE)="",MID(VLOOKUP("*"&amp;Q4&amp;"*",[1]Sheet1!$A$1:$F$93,4,FALSE),5,8)&amp;VLOOKUP("*"&amp;Q4&amp;"*",[1]Sheet1!$A$1:$F$93,6,FALSE),VLOOKUP("*"&amp;Q4&amp;"*",[1]Sheet1!$A$1:$F$93,5,FALSE)&amp;VLOOKUP("*"&amp;Q4&amp;"*",[1]Sheet1!$A$1:$F$93,6,FALSE)))</f>
        <v/>
      </c>
      <c r="Q5" s="31"/>
      <c r="R5" s="30" t="str">
        <f>IF(ISNA(VLOOKUP("*"&amp;S4&amp;"*",[1]Sheet1!$A$1:$F$93,5,FALSE)),"",IF(VLOOKUP("*"&amp;S4&amp;"*",[1]Sheet1!$A$1:$F$93,5,FALSE)="",MID(VLOOKUP("*"&amp;S4&amp;"*",[1]Sheet1!$A$1:$F$93,4,FALSE),5,8)&amp;VLOOKUP("*"&amp;S4&amp;"*",[1]Sheet1!$A$1:$F$93,6,FALSE),VLOOKUP("*"&amp;S4&amp;"*",[1]Sheet1!$A$1:$F$93,5,FALSE)&amp;VLOOKUP("*"&amp;S4&amp;"*",[1]Sheet1!$A$1:$F$93,6,FALSE)))</f>
        <v/>
      </c>
      <c r="S5" s="31"/>
      <c r="T5" s="30" t="str">
        <f>IF(ISNA(VLOOKUP("*"&amp;U4&amp;"*",[1]Sheet1!$A$1:$F$93,5,FALSE)),"",IF(VLOOKUP("*"&amp;U4&amp;"*",[1]Sheet1!$A$1:$F$93,5,FALSE)="",MID(VLOOKUP("*"&amp;U4&amp;"*",[1]Sheet1!$A$1:$F$93,4,FALSE),5,8)&amp;VLOOKUP("*"&amp;U4&amp;"*",[1]Sheet1!$A$1:$F$93,6,FALSE),VLOOKUP("*"&amp;U4&amp;"*",[1]Sheet1!$A$1:$F$93,5,FALSE)&amp;VLOOKUP("*"&amp;U4&amp;"*",[1]Sheet1!$A$1:$F$93,6,FALSE)))</f>
        <v/>
      </c>
      <c r="U5" s="31"/>
    </row>
    <row r="6" spans="1:27" ht="15.6">
      <c r="A6" s="32" t="s">
        <v>17</v>
      </c>
      <c r="B6" s="33"/>
      <c r="C6" s="34" t="s">
        <v>17</v>
      </c>
      <c r="D6" s="33"/>
      <c r="E6" s="34" t="s">
        <v>17</v>
      </c>
      <c r="F6" s="33"/>
      <c r="G6" s="34" t="s">
        <v>17</v>
      </c>
      <c r="H6" s="33"/>
      <c r="I6" s="35" t="s">
        <v>17</v>
      </c>
      <c r="J6" s="36"/>
      <c r="K6" s="6"/>
      <c r="L6" s="32" t="s">
        <v>18</v>
      </c>
      <c r="M6" s="37"/>
      <c r="N6" s="34" t="s">
        <v>17</v>
      </c>
      <c r="O6" s="33"/>
      <c r="P6" s="34" t="s">
        <v>17</v>
      </c>
      <c r="Q6" s="33"/>
      <c r="R6" s="34" t="s">
        <v>17</v>
      </c>
      <c r="S6" s="33"/>
      <c r="T6" s="34" t="s">
        <v>17</v>
      </c>
      <c r="U6" s="38"/>
      <c r="V6" s="39"/>
      <c r="Z6" s="40" t="s">
        <v>19</v>
      </c>
      <c r="AA6" s="40" t="s">
        <v>20</v>
      </c>
    </row>
    <row r="7" spans="1:27" ht="15.6">
      <c r="A7" s="41" t="s">
        <v>1</v>
      </c>
      <c r="B7" s="42"/>
      <c r="C7" s="43" t="s">
        <v>1</v>
      </c>
      <c r="D7" s="42"/>
      <c r="E7" s="44" t="s">
        <v>2</v>
      </c>
      <c r="F7" s="45"/>
      <c r="G7" s="46" t="s">
        <v>3</v>
      </c>
      <c r="H7" s="47"/>
      <c r="I7" s="46" t="s">
        <v>3</v>
      </c>
      <c r="J7" s="48"/>
      <c r="K7" s="6"/>
      <c r="L7" s="49"/>
      <c r="M7" s="50"/>
      <c r="N7" s="43" t="s">
        <v>1</v>
      </c>
      <c r="O7" s="42"/>
      <c r="P7" s="43" t="s">
        <v>1</v>
      </c>
      <c r="Q7" s="42"/>
      <c r="R7" s="43" t="s">
        <v>1</v>
      </c>
      <c r="S7" s="42"/>
      <c r="T7" s="43" t="s">
        <v>1</v>
      </c>
      <c r="U7" s="51"/>
      <c r="Z7" s="40" t="s">
        <v>21</v>
      </c>
      <c r="AA7" s="40" t="s">
        <v>22</v>
      </c>
    </row>
    <row r="8" spans="1:27" ht="15.6">
      <c r="A8" s="22" t="s">
        <v>5</v>
      </c>
      <c r="B8" s="23" t="s">
        <v>23</v>
      </c>
      <c r="C8" s="24" t="s">
        <v>5</v>
      </c>
      <c r="D8" s="23" t="s">
        <v>24</v>
      </c>
      <c r="E8" s="24" t="s">
        <v>5</v>
      </c>
      <c r="F8" s="23" t="s">
        <v>25</v>
      </c>
      <c r="G8" s="24" t="s">
        <v>5</v>
      </c>
      <c r="H8" s="52" t="s">
        <v>26</v>
      </c>
      <c r="I8" s="24" t="s">
        <v>5</v>
      </c>
      <c r="J8" s="53" t="s">
        <v>27</v>
      </c>
      <c r="K8" s="6"/>
      <c r="L8" s="22" t="s">
        <v>5</v>
      </c>
      <c r="M8" s="52" t="s">
        <v>28</v>
      </c>
      <c r="N8" s="24" t="s">
        <v>5</v>
      </c>
      <c r="O8" s="52" t="s">
        <v>29</v>
      </c>
      <c r="P8" s="24" t="s">
        <v>5</v>
      </c>
      <c r="Q8" s="27" t="s">
        <v>30</v>
      </c>
      <c r="R8" s="24" t="s">
        <v>5</v>
      </c>
      <c r="S8" s="27" t="s">
        <v>31</v>
      </c>
      <c r="T8" s="24" t="s">
        <v>5</v>
      </c>
      <c r="U8" s="28" t="s">
        <v>32</v>
      </c>
      <c r="Z8" s="40" t="s">
        <v>33</v>
      </c>
      <c r="AA8" s="40" t="s">
        <v>34</v>
      </c>
    </row>
    <row r="9" spans="1:27" ht="15.6">
      <c r="A9" s="30" t="str">
        <f>IF(ISNA(VLOOKUP("*"&amp;B8&amp;"*",[1]Sheet1!$A$1:$F$93,5,FALSE)),"",IF(VLOOKUP("*"&amp;B8&amp;"*",[1]Sheet1!$A$1:$F$93,5,FALSE)="",MID(VLOOKUP("*"&amp;B8&amp;"*",[1]Sheet1!$A$1:$F$93,4,FALSE),5,8)&amp;VLOOKUP("*"&amp;B8&amp;"*",[1]Sheet1!$A$1:$F$93,6,FALSE),VLOOKUP("*"&amp;B8&amp;"*",[1]Sheet1!$A$1:$F$93,5,FALSE)&amp;VLOOKUP("*"&amp;B8&amp;"*",[1]Sheet1!$A$1:$F$93,6,FALSE)))</f>
        <v/>
      </c>
      <c r="B9" s="31"/>
      <c r="C9" s="30" t="str">
        <f>IF(ISNA(VLOOKUP("*"&amp;D8&amp;"*",[1]Sheet1!$A$1:$F$93,5,FALSE)),"",IF(VLOOKUP("*"&amp;D8&amp;"*",[1]Sheet1!$A$1:$F$93,5,FALSE)="",MID(VLOOKUP("*"&amp;D8&amp;"*",[1]Sheet1!$A$1:$F$93,4,FALSE),5,8)&amp;VLOOKUP("*"&amp;D8&amp;"*",[1]Sheet1!$A$1:$F$93,6,FALSE),VLOOKUP("*"&amp;D8&amp;"*",[1]Sheet1!$A$1:$F$93,5,FALSE)&amp;VLOOKUP("*"&amp;D8&amp;"*",[1]Sheet1!$A$1:$F$93,6,FALSE)))</f>
        <v/>
      </c>
      <c r="D9" s="31"/>
      <c r="E9" s="30" t="str">
        <f>IF(ISNA(VLOOKUP("*"&amp;F8&amp;"*",[1]Sheet1!$A$1:$F$93,5,FALSE)),"",IF(VLOOKUP("*"&amp;F8&amp;"*",[1]Sheet1!$A$1:$F$93,5,FALSE)="",MID(VLOOKUP("*"&amp;F8&amp;"*",[1]Sheet1!$A$1:$F$93,4,FALSE),5,8)&amp;VLOOKUP("*"&amp;F8&amp;"*",[1]Sheet1!$A$1:$F$93,6,FALSE),VLOOKUP("*"&amp;F8&amp;"*",[1]Sheet1!$A$1:$F$93,5,FALSE)&amp;VLOOKUP("*"&amp;F8&amp;"*",[1]Sheet1!$A$1:$F$93,6,FALSE)))</f>
        <v/>
      </c>
      <c r="F9" s="31"/>
      <c r="G9" s="30" t="str">
        <f>IF(ISNA(VLOOKUP("*"&amp;H8&amp;"*",[1]Sheet1!$A$1:$F$93,5,FALSE)),"",IF(VLOOKUP("*"&amp;H8&amp;"*",[1]Sheet1!$A$1:$F$93,5,FALSE)="",MID(VLOOKUP("*"&amp;H8&amp;"*",[1]Sheet1!$A$1:$F$93,4,FALSE),5,8)&amp;VLOOKUP("*"&amp;H8&amp;"*",[1]Sheet1!$A$1:$F$93,6,FALSE),VLOOKUP("*"&amp;H8&amp;"*",[1]Sheet1!$A$1:$F$93,5,FALSE)&amp;VLOOKUP("*"&amp;H8&amp;"*",[1]Sheet1!$A$1:$F$93,6,FALSE)))</f>
        <v/>
      </c>
      <c r="H9" s="31"/>
      <c r="I9" s="30" t="str">
        <f>IF(ISNA(VLOOKUP("*"&amp;J8&amp;"*",[1]Sheet1!$A$1:$F$93,5,FALSE)),"",IF(VLOOKUP("*"&amp;J8&amp;"*",[1]Sheet1!$A$1:$F$93,5,FALSE)="",MID(VLOOKUP("*"&amp;J8&amp;"*",[1]Sheet1!$A$1:$F$93,4,FALSE),5,8)&amp;VLOOKUP("*"&amp;J8&amp;"*",[1]Sheet1!$A$1:$F$93,6,FALSE),VLOOKUP("*"&amp;J8&amp;"*",[1]Sheet1!$A$1:$F$93,5,FALSE)&amp;VLOOKUP("*"&amp;J8&amp;"*",[1]Sheet1!$A$1:$F$93,6,FALSE)))</f>
        <v/>
      </c>
      <c r="J9" s="31"/>
      <c r="K9" s="6"/>
      <c r="L9" s="30" t="str">
        <f>IF(ISNA(VLOOKUP("*"&amp;M8&amp;"*",[1]Sheet1!$A$1:$F$93,5,FALSE)),"",IF(VLOOKUP("*"&amp;M8&amp;"*",[1]Sheet1!$A$1:$F$93,5,FALSE)="",MID(VLOOKUP("*"&amp;M8&amp;"*",[1]Sheet1!$A$1:$F$93,4,FALSE),5,8)&amp;VLOOKUP("*"&amp;M8&amp;"*",[1]Sheet1!$A$1:$F$93,6,FALSE),VLOOKUP("*"&amp;M8&amp;"*",[1]Sheet1!$A$1:$F$93,5,FALSE)&amp;VLOOKUP("*"&amp;M8&amp;"*",[1]Sheet1!$A$1:$F$93,6,FALSE)))</f>
        <v/>
      </c>
      <c r="M9" s="31"/>
      <c r="N9" s="30" t="str">
        <f>IF(ISNA(VLOOKUP("*"&amp;O8&amp;"*",[1]Sheet1!$A$1:$F$93,5,FALSE)),"",IF(VLOOKUP("*"&amp;O8&amp;"*",[1]Sheet1!$A$1:$F$93,5,FALSE)="",MID(VLOOKUP("*"&amp;O8&amp;"*",[1]Sheet1!$A$1:$F$93,4,FALSE),5,8)&amp;VLOOKUP("*"&amp;O8&amp;"*",[1]Sheet1!$A$1:$F$93,6,FALSE),VLOOKUP("*"&amp;O8&amp;"*",[1]Sheet1!$A$1:$F$93,5,FALSE)&amp;VLOOKUP("*"&amp;O8&amp;"*",[1]Sheet1!$A$1:$F$93,6,FALSE)))</f>
        <v/>
      </c>
      <c r="O9" s="31"/>
      <c r="P9" s="30" t="str">
        <f>IF(ISNA(VLOOKUP("*"&amp;Q8&amp;"*",[1]Sheet1!$A$1:$F$93,5,FALSE)),"",IF(VLOOKUP("*"&amp;Q8&amp;"*",[1]Sheet1!$A$1:$F$93,5,FALSE)="",MID(VLOOKUP("*"&amp;Q8&amp;"*",[1]Sheet1!$A$1:$F$93,4,FALSE),5,8)&amp;VLOOKUP("*"&amp;Q8&amp;"*",[1]Sheet1!$A$1:$F$93,6,FALSE),VLOOKUP("*"&amp;Q8&amp;"*",[1]Sheet1!$A$1:$F$93,5,FALSE)&amp;VLOOKUP("*"&amp;Q8&amp;"*",[1]Sheet1!$A$1:$F$93,6,FALSE)))</f>
        <v/>
      </c>
      <c r="Q9" s="31"/>
      <c r="R9" s="30" t="str">
        <f>IF(ISNA(VLOOKUP("*"&amp;S8&amp;"*",[1]Sheet1!$A$1:$F$93,5,FALSE)),"",IF(VLOOKUP("*"&amp;S8&amp;"*",[1]Sheet1!$A$1:$F$93,5,FALSE)="",MID(VLOOKUP("*"&amp;S8&amp;"*",[1]Sheet1!$A$1:$F$93,4,FALSE),5,8)&amp;VLOOKUP("*"&amp;S8&amp;"*",[1]Sheet1!$A$1:$F$93,6,FALSE),VLOOKUP("*"&amp;S8&amp;"*",[1]Sheet1!$A$1:$F$93,5,FALSE)&amp;VLOOKUP("*"&amp;S8&amp;"*",[1]Sheet1!$A$1:$F$93,6,FALSE)))</f>
        <v/>
      </c>
      <c r="S9" s="31"/>
      <c r="T9" s="30" t="str">
        <f>IF(ISNA(VLOOKUP("*"&amp;U8&amp;"*",[1]Sheet1!$A$1:$F$93,5,FALSE)),"",IF(VLOOKUP("*"&amp;U8&amp;"*",[1]Sheet1!$A$1:$F$93,5,FALSE)="",MID(VLOOKUP("*"&amp;U8&amp;"*",[1]Sheet1!$A$1:$F$93,4,FALSE),5,8)&amp;VLOOKUP("*"&amp;U8&amp;"*",[1]Sheet1!$A$1:$F$93,6,FALSE),VLOOKUP("*"&amp;U8&amp;"*",[1]Sheet1!$A$1:$F$93,5,FALSE)&amp;VLOOKUP("*"&amp;U8&amp;"*",[1]Sheet1!$A$1:$F$93,6,FALSE)))</f>
        <v/>
      </c>
      <c r="U9" s="31"/>
      <c r="Z9" s="54" t="s">
        <v>35</v>
      </c>
      <c r="AA9" s="54" t="s">
        <v>36</v>
      </c>
    </row>
    <row r="10" spans="1:27" ht="15.6">
      <c r="A10" s="32" t="s">
        <v>17</v>
      </c>
      <c r="B10" s="33"/>
      <c r="C10" s="34" t="s">
        <v>17</v>
      </c>
      <c r="D10" s="33"/>
      <c r="E10" s="34" t="s">
        <v>17</v>
      </c>
      <c r="F10" s="33"/>
      <c r="G10" s="34" t="s">
        <v>17</v>
      </c>
      <c r="H10" s="33"/>
      <c r="I10" s="35" t="s">
        <v>17</v>
      </c>
      <c r="J10" s="36"/>
      <c r="K10" s="6"/>
      <c r="L10" s="32" t="s">
        <v>18</v>
      </c>
      <c r="M10" s="37"/>
      <c r="N10" s="34" t="s">
        <v>17</v>
      </c>
      <c r="O10" s="33"/>
      <c r="P10" s="34" t="s">
        <v>17</v>
      </c>
      <c r="Q10" s="33"/>
      <c r="R10" s="34" t="s">
        <v>17</v>
      </c>
      <c r="S10" s="33"/>
      <c r="T10" s="34" t="s">
        <v>17</v>
      </c>
      <c r="U10" s="38"/>
      <c r="Z10" s="40" t="s">
        <v>37</v>
      </c>
      <c r="AA10" s="54" t="s">
        <v>38</v>
      </c>
    </row>
    <row r="11" spans="1:27" ht="15.6">
      <c r="A11" s="41" t="s">
        <v>1</v>
      </c>
      <c r="B11" s="42"/>
      <c r="C11" s="43" t="s">
        <v>1</v>
      </c>
      <c r="D11" s="42"/>
      <c r="E11" s="55"/>
      <c r="F11" s="31"/>
      <c r="G11" s="46" t="s">
        <v>3</v>
      </c>
      <c r="H11" s="47"/>
      <c r="I11" s="46" t="s">
        <v>3</v>
      </c>
      <c r="J11" s="48"/>
      <c r="K11" s="6"/>
      <c r="L11" s="56"/>
      <c r="M11" s="57"/>
      <c r="N11" s="58"/>
      <c r="O11" s="59"/>
      <c r="P11" s="60"/>
      <c r="Q11" s="61"/>
      <c r="R11" s="60"/>
      <c r="S11" s="61"/>
      <c r="T11" s="43" t="s">
        <v>1</v>
      </c>
      <c r="U11" s="51"/>
    </row>
    <row r="12" spans="1:27" ht="15.6">
      <c r="A12" s="22" t="s">
        <v>5</v>
      </c>
      <c r="B12" s="23" t="s">
        <v>39</v>
      </c>
      <c r="C12" s="24" t="s">
        <v>5</v>
      </c>
      <c r="D12" s="23" t="s">
        <v>40</v>
      </c>
      <c r="E12" s="24" t="s">
        <v>5</v>
      </c>
      <c r="F12" s="23" t="s">
        <v>41</v>
      </c>
      <c r="G12" s="24" t="s">
        <v>5</v>
      </c>
      <c r="H12" s="62" t="s">
        <v>42</v>
      </c>
      <c r="I12" s="24" t="s">
        <v>5</v>
      </c>
      <c r="J12" s="26" t="s">
        <v>43</v>
      </c>
      <c r="K12" s="24"/>
      <c r="L12" s="22" t="s">
        <v>5</v>
      </c>
      <c r="M12" s="52" t="s">
        <v>44</v>
      </c>
      <c r="N12" s="24" t="s">
        <v>5</v>
      </c>
      <c r="O12" s="23" t="s">
        <v>45</v>
      </c>
      <c r="P12" s="24" t="s">
        <v>5</v>
      </c>
      <c r="Q12" s="27" t="s">
        <v>46</v>
      </c>
      <c r="R12" s="24" t="s">
        <v>5</v>
      </c>
      <c r="S12" s="27" t="s">
        <v>47</v>
      </c>
      <c r="T12" s="24" t="s">
        <v>5</v>
      </c>
      <c r="U12" s="28" t="s">
        <v>48</v>
      </c>
    </row>
    <row r="13" spans="1:27" ht="15.6">
      <c r="A13" s="30" t="str">
        <f>IF(ISNA(VLOOKUP("*"&amp;B12&amp;"*",[1]Sheet1!$A$1:$F$93,5,FALSE)),"",IF(VLOOKUP("*"&amp;B12&amp;"*",[1]Sheet1!$A$1:$F$93,5,FALSE)="",MID(VLOOKUP("*"&amp;B12&amp;"*",[1]Sheet1!$A$1:$F$93,4,FALSE),5,8)&amp;VLOOKUP("*"&amp;B12&amp;"*",[1]Sheet1!$A$1:$F$93,6,FALSE),VLOOKUP("*"&amp;B12&amp;"*",[1]Sheet1!$A$1:$F$93,5,FALSE)&amp;VLOOKUP("*"&amp;B12&amp;"*",[1]Sheet1!$A$1:$F$93,6,FALSE)))</f>
        <v/>
      </c>
      <c r="B13" s="31"/>
      <c r="C13" s="30" t="str">
        <f>IF(ISNA(VLOOKUP("*"&amp;D12&amp;"*",[1]Sheet1!$A$1:$F$93,5,FALSE)),"",IF(VLOOKUP("*"&amp;D12&amp;"*",[1]Sheet1!$A$1:$F$93,5,FALSE)="",MID(VLOOKUP("*"&amp;D12&amp;"*",[1]Sheet1!$A$1:$F$93,4,FALSE),5,8)&amp;VLOOKUP("*"&amp;D12&amp;"*",[1]Sheet1!$A$1:$F$93,6,FALSE),VLOOKUP("*"&amp;D12&amp;"*",[1]Sheet1!$A$1:$F$93,5,FALSE)&amp;VLOOKUP("*"&amp;D12&amp;"*",[1]Sheet1!$A$1:$F$93,6,FALSE)))</f>
        <v/>
      </c>
      <c r="D13" s="31"/>
      <c r="E13" s="30" t="str">
        <f>IF(ISNA(VLOOKUP("*"&amp;F12&amp;"*",[1]Sheet1!$A$1:$F$93,5,FALSE)),"",IF(VLOOKUP("*"&amp;F12&amp;"*",[1]Sheet1!$A$1:$F$93,5,FALSE)="",MID(VLOOKUP("*"&amp;F12&amp;"*",[1]Sheet1!$A$1:$F$93,4,FALSE),5,8)&amp;VLOOKUP("*"&amp;F12&amp;"*",[1]Sheet1!$A$1:$F$93,6,FALSE),VLOOKUP("*"&amp;F12&amp;"*",[1]Sheet1!$A$1:$F$93,5,FALSE)&amp;VLOOKUP("*"&amp;F12&amp;"*",[1]Sheet1!$A$1:$F$93,6,FALSE)))</f>
        <v/>
      </c>
      <c r="F13" s="31"/>
      <c r="G13" s="30" t="str">
        <f>IF(ISNA(VLOOKUP("*"&amp;H12&amp;"*",[1]Sheet1!$A$1:$F$93,5,FALSE)),"",IF(VLOOKUP("*"&amp;H12&amp;"*",[1]Sheet1!$A$1:$F$93,5,FALSE)="",MID(VLOOKUP("*"&amp;H12&amp;"*",[1]Sheet1!$A$1:$F$93,4,FALSE),5,8)&amp;VLOOKUP("*"&amp;H12&amp;"*",[1]Sheet1!$A$1:$F$93,6,FALSE),VLOOKUP("*"&amp;H12&amp;"*",[1]Sheet1!$A$1:$F$93,5,FALSE)&amp;VLOOKUP("*"&amp;H12&amp;"*",[1]Sheet1!$A$1:$F$93,6,FALSE)))</f>
        <v/>
      </c>
      <c r="H13" s="31"/>
      <c r="I13" s="30" t="str">
        <f>IF(ISNA(VLOOKUP("*"&amp;J12&amp;"*",[1]Sheet1!$A$1:$F$93,5,FALSE)),"",IF(VLOOKUP("*"&amp;J12&amp;"*",[1]Sheet1!$A$1:$F$93,5,FALSE)="",MID(VLOOKUP("*"&amp;J12&amp;"*",[1]Sheet1!$A$1:$F$93,4,FALSE),5,8)&amp;VLOOKUP("*"&amp;J12&amp;"*",[1]Sheet1!$A$1:$F$93,6,FALSE),VLOOKUP("*"&amp;J12&amp;"*",[1]Sheet1!$A$1:$F$93,5,FALSE)&amp;VLOOKUP("*"&amp;J12&amp;"*",[1]Sheet1!$A$1:$F$93,6,FALSE)))</f>
        <v/>
      </c>
      <c r="J13" s="31"/>
      <c r="K13" s="63"/>
      <c r="L13" s="30" t="str">
        <f>IF(ISNA(VLOOKUP("*"&amp;M12&amp;"*",[1]Sheet1!$A$1:$F$93,5,FALSE)),"",IF(VLOOKUP("*"&amp;M12&amp;"*",[1]Sheet1!$A$1:$F$93,5,FALSE)="",MID(VLOOKUP("*"&amp;M12&amp;"*",[1]Sheet1!$A$1:$F$93,4,FALSE),5,8)&amp;VLOOKUP("*"&amp;M12&amp;"*",[1]Sheet1!$A$1:$F$93,6,FALSE),VLOOKUP("*"&amp;M12&amp;"*",[1]Sheet1!$A$1:$F$93,5,FALSE)&amp;VLOOKUP("*"&amp;M12&amp;"*",[1]Sheet1!$A$1:$F$93,6,FALSE)))</f>
        <v/>
      </c>
      <c r="M13" s="31"/>
      <c r="N13" s="30" t="str">
        <f>IF(ISNA(VLOOKUP("*"&amp;O12&amp;"*",[1]Sheet1!$A$1:$F$93,5,FALSE)),"",IF(VLOOKUP("*"&amp;O12&amp;"*",[1]Sheet1!$A$1:$F$93,5,FALSE)="",MID(VLOOKUP("*"&amp;O12&amp;"*",[1]Sheet1!$A$1:$F$93,4,FALSE),5,8)&amp;VLOOKUP("*"&amp;O12&amp;"*",[1]Sheet1!$A$1:$F$93,6,FALSE),VLOOKUP("*"&amp;O12&amp;"*",[1]Sheet1!$A$1:$F$93,5,FALSE)&amp;VLOOKUP("*"&amp;O12&amp;"*",[1]Sheet1!$A$1:$F$93,6,FALSE)))</f>
        <v/>
      </c>
      <c r="O13" s="31"/>
      <c r="P13" s="30" t="str">
        <f>IF(ISNA(VLOOKUP("*"&amp;Q12&amp;"*",[1]Sheet1!$A$1:$F$93,5,FALSE)),"",IF(VLOOKUP("*"&amp;Q12&amp;"*",[1]Sheet1!$A$1:$F$93,5,FALSE)="",MID(VLOOKUP("*"&amp;Q12&amp;"*",[1]Sheet1!$A$1:$F$93,4,FALSE),5,8)&amp;VLOOKUP("*"&amp;Q12&amp;"*",[1]Sheet1!$A$1:$F$93,6,FALSE),VLOOKUP("*"&amp;Q12&amp;"*",[1]Sheet1!$A$1:$F$93,5,FALSE)&amp;VLOOKUP("*"&amp;Q12&amp;"*",[1]Sheet1!$A$1:$F$93,6,FALSE)))</f>
        <v/>
      </c>
      <c r="Q13" s="31"/>
      <c r="R13" s="30" t="str">
        <f>IF(ISNA(VLOOKUP("*"&amp;S12&amp;"*",[1]Sheet1!$A$1:$F$93,5,FALSE)),"",IF(VLOOKUP("*"&amp;S12&amp;"*",[1]Sheet1!$A$1:$F$93,5,FALSE)="",MID(VLOOKUP("*"&amp;S12&amp;"*",[1]Sheet1!$A$1:$F$93,4,FALSE),5,8)&amp;VLOOKUP("*"&amp;S12&amp;"*",[1]Sheet1!$A$1:$F$93,6,FALSE),VLOOKUP("*"&amp;S12&amp;"*",[1]Sheet1!$A$1:$F$93,5,FALSE)&amp;VLOOKUP("*"&amp;S12&amp;"*",[1]Sheet1!$A$1:$F$93,6,FALSE)))</f>
        <v/>
      </c>
      <c r="S13" s="31"/>
      <c r="T13" s="30" t="str">
        <f>IF(ISNA(VLOOKUP("*"&amp;U12&amp;"*",[1]Sheet1!$A$1:$F$93,5,FALSE)),"",IF(VLOOKUP("*"&amp;U12&amp;"*",[1]Sheet1!$A$1:$F$93,5,FALSE)="",MID(VLOOKUP("*"&amp;U12&amp;"*",[1]Sheet1!$A$1:$F$93,4,FALSE),5,8)&amp;VLOOKUP("*"&amp;U12&amp;"*",[1]Sheet1!$A$1:$F$93,6,FALSE),VLOOKUP("*"&amp;U12&amp;"*",[1]Sheet1!$A$1:$F$93,5,FALSE)&amp;VLOOKUP("*"&amp;U12&amp;"*",[1]Sheet1!$A$1:$F$93,6,FALSE)))</f>
        <v/>
      </c>
      <c r="U13" s="31"/>
    </row>
    <row r="14" spans="1:27" ht="15.6">
      <c r="A14" s="32" t="s">
        <v>17</v>
      </c>
      <c r="B14" s="64"/>
      <c r="C14" s="65" t="s">
        <v>17</v>
      </c>
      <c r="D14" s="33"/>
      <c r="E14" s="66" t="s">
        <v>17</v>
      </c>
      <c r="F14" s="61"/>
      <c r="G14" s="34" t="s">
        <v>17</v>
      </c>
      <c r="H14" s="33"/>
      <c r="I14" s="35" t="s">
        <v>17</v>
      </c>
      <c r="J14" s="36"/>
      <c r="K14" s="6"/>
      <c r="L14" s="32" t="s">
        <v>18</v>
      </c>
      <c r="M14" s="37"/>
      <c r="N14" s="34" t="s">
        <v>18</v>
      </c>
      <c r="O14" s="37"/>
      <c r="P14" s="34" t="s">
        <v>18</v>
      </c>
      <c r="Q14" s="37"/>
      <c r="R14" s="34" t="s">
        <v>18</v>
      </c>
      <c r="S14" s="37"/>
      <c r="T14" s="34" t="s">
        <v>17</v>
      </c>
      <c r="U14" s="38"/>
      <c r="V14" s="39"/>
    </row>
    <row r="15" spans="1:27" ht="15.6">
      <c r="A15" s="41" t="s">
        <v>1</v>
      </c>
      <c r="B15" s="42"/>
      <c r="C15" s="44" t="s">
        <v>2</v>
      </c>
      <c r="D15" s="45"/>
      <c r="E15" s="67" t="s">
        <v>2</v>
      </c>
      <c r="F15" s="68"/>
      <c r="G15" s="44" t="s">
        <v>2</v>
      </c>
      <c r="H15" s="45"/>
      <c r="I15" s="46" t="s">
        <v>3</v>
      </c>
      <c r="J15" s="48"/>
      <c r="K15" s="6"/>
      <c r="L15" s="69"/>
      <c r="M15" s="70"/>
      <c r="N15" s="71"/>
      <c r="O15" s="72"/>
      <c r="P15" s="60"/>
      <c r="Q15" s="61"/>
      <c r="R15" s="60"/>
      <c r="S15" s="61"/>
      <c r="T15" s="43" t="s">
        <v>1</v>
      </c>
      <c r="U15" s="51"/>
      <c r="W15" s="73"/>
    </row>
    <row r="16" spans="1:27" ht="15.6">
      <c r="A16" s="22" t="s">
        <v>5</v>
      </c>
      <c r="B16" s="23" t="s">
        <v>49</v>
      </c>
      <c r="C16" s="24" t="s">
        <v>5</v>
      </c>
      <c r="D16" s="23" t="s">
        <v>50</v>
      </c>
      <c r="E16" s="24" t="s">
        <v>5</v>
      </c>
      <c r="F16" s="52" t="s">
        <v>51</v>
      </c>
      <c r="G16" s="24" t="s">
        <v>5</v>
      </c>
      <c r="H16" s="62" t="s">
        <v>52</v>
      </c>
      <c r="I16" s="24" t="s">
        <v>5</v>
      </c>
      <c r="J16" s="53" t="s">
        <v>53</v>
      </c>
      <c r="K16" s="24"/>
      <c r="L16" s="22" t="s">
        <v>5</v>
      </c>
      <c r="M16" s="62" t="s">
        <v>54</v>
      </c>
      <c r="N16" s="24" t="s">
        <v>5</v>
      </c>
      <c r="O16" s="62" t="s">
        <v>55</v>
      </c>
      <c r="P16" s="24" t="s">
        <v>5</v>
      </c>
      <c r="Q16" s="27" t="s">
        <v>56</v>
      </c>
      <c r="R16" s="24" t="s">
        <v>5</v>
      </c>
      <c r="S16" s="27" t="s">
        <v>57</v>
      </c>
      <c r="T16" s="24" t="s">
        <v>5</v>
      </c>
      <c r="U16" s="28" t="s">
        <v>58</v>
      </c>
    </row>
    <row r="17" spans="1:27" ht="15.6">
      <c r="A17" s="30" t="str">
        <f>IF(ISNA(VLOOKUP("*"&amp;B16&amp;"*",[1]Sheet1!$A$1:$F$93,5,FALSE)),"",IF(VLOOKUP("*"&amp;B16&amp;"*",[1]Sheet1!$A$1:$F$93,5,FALSE)="",MID(VLOOKUP("*"&amp;B16&amp;"*",[1]Sheet1!$A$1:$F$93,4,FALSE),5,8)&amp;VLOOKUP("*"&amp;B16&amp;"*",[1]Sheet1!$A$1:$F$93,6,FALSE),VLOOKUP("*"&amp;B16&amp;"*",[1]Sheet1!$A$1:$F$93,5,FALSE)&amp;VLOOKUP("*"&amp;B16&amp;"*",[1]Sheet1!$A$1:$F$93,6,FALSE)))</f>
        <v/>
      </c>
      <c r="B17" s="31"/>
      <c r="C17" s="30" t="str">
        <f>IF(ISNA(VLOOKUP("*"&amp;D16&amp;"*",[1]Sheet1!$A$1:$F$93,5,FALSE)),"",IF(VLOOKUP("*"&amp;D16&amp;"*",[1]Sheet1!$A$1:$F$93,5,FALSE)="",MID(VLOOKUP("*"&amp;D16&amp;"*",[1]Sheet1!$A$1:$F$93,4,FALSE),5,8)&amp;VLOOKUP("*"&amp;D16&amp;"*",[1]Sheet1!$A$1:$F$93,6,FALSE),VLOOKUP("*"&amp;D16&amp;"*",[1]Sheet1!$A$1:$F$93,5,FALSE)&amp;VLOOKUP("*"&amp;D16&amp;"*",[1]Sheet1!$A$1:$F$93,6,FALSE)))</f>
        <v/>
      </c>
      <c r="D17" s="31"/>
      <c r="E17" s="30" t="str">
        <f>IF(ISNA(VLOOKUP("*"&amp;F16&amp;"*",[1]Sheet1!$A$1:$F$93,5,FALSE)),"",IF(VLOOKUP("*"&amp;F16&amp;"*",[1]Sheet1!$A$1:$F$93,5,FALSE)="",MID(VLOOKUP("*"&amp;F16&amp;"*",[1]Sheet1!$A$1:$F$93,4,FALSE),5,8)&amp;VLOOKUP("*"&amp;F16&amp;"*",[1]Sheet1!$A$1:$F$93,6,FALSE),VLOOKUP("*"&amp;F16&amp;"*",[1]Sheet1!$A$1:$F$93,5,FALSE)&amp;VLOOKUP("*"&amp;F16&amp;"*",[1]Sheet1!$A$1:$F$93,6,FALSE)))</f>
        <v/>
      </c>
      <c r="F17" s="31"/>
      <c r="G17" s="30" t="str">
        <f>IF(ISNA(VLOOKUP("*"&amp;H16&amp;"*",[1]Sheet1!$A$1:$F$93,5,FALSE)),"",IF(VLOOKUP("*"&amp;H16&amp;"*",[1]Sheet1!$A$1:$F$93,5,FALSE)="",MID(VLOOKUP("*"&amp;H16&amp;"*",[1]Sheet1!$A$1:$F$93,4,FALSE),5,8)&amp;VLOOKUP("*"&amp;H16&amp;"*",[1]Sheet1!$A$1:$F$93,6,FALSE),VLOOKUP("*"&amp;H16&amp;"*",[1]Sheet1!$A$1:$F$93,5,FALSE)&amp;VLOOKUP("*"&amp;H16&amp;"*",[1]Sheet1!$A$1:$F$93,6,FALSE)))</f>
        <v/>
      </c>
      <c r="H17" s="31"/>
      <c r="I17" s="30" t="str">
        <f>IF(ISNA(VLOOKUP("*"&amp;J16&amp;"*",[1]Sheet1!$A$1:$F$93,5,FALSE)),"",IF(VLOOKUP("*"&amp;J16&amp;"*",[1]Sheet1!$A$1:$F$93,5,FALSE)="",MID(VLOOKUP("*"&amp;J16&amp;"*",[1]Sheet1!$A$1:$F$93,4,FALSE),5,8)&amp;VLOOKUP("*"&amp;J16&amp;"*",[1]Sheet1!$A$1:$F$93,6,FALSE),VLOOKUP("*"&amp;J16&amp;"*",[1]Sheet1!$A$1:$F$93,5,FALSE)&amp;VLOOKUP("*"&amp;J16&amp;"*",[1]Sheet1!$A$1:$F$93,6,FALSE)))</f>
        <v/>
      </c>
      <c r="J17" s="31"/>
      <c r="K17" s="63"/>
      <c r="L17" s="30" t="str">
        <f>IF(ISNA(VLOOKUP("*"&amp;M16&amp;"*",[1]Sheet1!$A$1:$F$93,5,FALSE)),"",IF(VLOOKUP("*"&amp;M16&amp;"*",[1]Sheet1!$A$1:$F$93,5,FALSE)="",MID(VLOOKUP("*"&amp;M16&amp;"*",[1]Sheet1!$A$1:$F$93,4,FALSE),5,8)&amp;VLOOKUP("*"&amp;M16&amp;"*",[1]Sheet1!$A$1:$F$93,6,FALSE),VLOOKUP("*"&amp;M16&amp;"*",[1]Sheet1!$A$1:$F$93,5,FALSE)&amp;VLOOKUP("*"&amp;M16&amp;"*",[1]Sheet1!$A$1:$F$93,6,FALSE)))</f>
        <v/>
      </c>
      <c r="M17" s="31"/>
      <c r="N17" s="30" t="str">
        <f>IF(ISNA(VLOOKUP("*"&amp;O16&amp;"*",[1]Sheet1!$A$1:$F$93,5,FALSE)),"",IF(VLOOKUP("*"&amp;O16&amp;"*",[1]Sheet1!$A$1:$F$93,5,FALSE)="",MID(VLOOKUP("*"&amp;O16&amp;"*",[1]Sheet1!$A$1:$F$93,4,FALSE),5,8)&amp;VLOOKUP("*"&amp;O16&amp;"*",[1]Sheet1!$A$1:$F$93,6,FALSE),VLOOKUP("*"&amp;O16&amp;"*",[1]Sheet1!$A$1:$F$93,5,FALSE)&amp;VLOOKUP("*"&amp;O16&amp;"*",[1]Sheet1!$A$1:$F$93,6,FALSE)))</f>
        <v/>
      </c>
      <c r="O17" s="31"/>
      <c r="P17" s="30" t="str">
        <f>IF(ISNA(VLOOKUP("*"&amp;Q16&amp;"*",[1]Sheet1!$A$1:$F$93,5,FALSE)),"",IF(VLOOKUP("*"&amp;Q16&amp;"*",[1]Sheet1!$A$1:$F$93,5,FALSE)="",MID(VLOOKUP("*"&amp;Q16&amp;"*",[1]Sheet1!$A$1:$F$93,4,FALSE),5,8)&amp;VLOOKUP("*"&amp;Q16&amp;"*",[1]Sheet1!$A$1:$F$93,6,FALSE),VLOOKUP("*"&amp;Q16&amp;"*",[1]Sheet1!$A$1:$F$93,5,FALSE)&amp;VLOOKUP("*"&amp;Q16&amp;"*",[1]Sheet1!$A$1:$F$93,6,FALSE)))</f>
        <v/>
      </c>
      <c r="Q17" s="31"/>
      <c r="R17" s="30" t="str">
        <f>IF(ISNA(VLOOKUP("*"&amp;S16&amp;"*",[1]Sheet1!$A$1:$F$93,5,FALSE)),"",IF(VLOOKUP("*"&amp;S16&amp;"*",[1]Sheet1!$A$1:$F$93,5,FALSE)="",MID(VLOOKUP("*"&amp;S16&amp;"*",[1]Sheet1!$A$1:$F$93,4,FALSE),5,8)&amp;VLOOKUP("*"&amp;S16&amp;"*",[1]Sheet1!$A$1:$F$93,6,FALSE),VLOOKUP("*"&amp;S16&amp;"*",[1]Sheet1!$A$1:$F$93,5,FALSE)&amp;VLOOKUP("*"&amp;S16&amp;"*",[1]Sheet1!$A$1:$F$93,6,FALSE)))</f>
        <v/>
      </c>
      <c r="S17" s="31"/>
      <c r="T17" s="30" t="str">
        <f>IF(ISNA(VLOOKUP("*"&amp;U16&amp;"*",[1]Sheet1!$A$1:$F$93,5,FALSE)),"",IF(VLOOKUP("*"&amp;U16&amp;"*",[1]Sheet1!$A$1:$F$93,5,FALSE)="",MID(VLOOKUP("*"&amp;U16&amp;"*",[1]Sheet1!$A$1:$F$93,4,FALSE),5,8)&amp;VLOOKUP("*"&amp;U16&amp;"*",[1]Sheet1!$A$1:$F$93,6,FALSE),VLOOKUP("*"&amp;U16&amp;"*",[1]Sheet1!$A$1:$F$93,5,FALSE)&amp;VLOOKUP("*"&amp;U16&amp;"*",[1]Sheet1!$A$1:$F$93,6,FALSE)))</f>
        <v/>
      </c>
      <c r="U17" s="31"/>
    </row>
    <row r="18" spans="1:27" ht="16.2" thickBot="1">
      <c r="A18" s="74" t="s">
        <v>17</v>
      </c>
      <c r="B18" s="75"/>
      <c r="C18" s="76" t="s">
        <v>17</v>
      </c>
      <c r="D18" s="75"/>
      <c r="E18" s="77" t="s">
        <v>17</v>
      </c>
      <c r="F18" s="75"/>
      <c r="G18" s="77" t="s">
        <v>17</v>
      </c>
      <c r="H18" s="75"/>
      <c r="I18" s="78" t="s">
        <v>17</v>
      </c>
      <c r="J18" s="79"/>
      <c r="K18" s="6"/>
      <c r="L18" s="74" t="s">
        <v>18</v>
      </c>
      <c r="M18" s="80"/>
      <c r="N18" s="77" t="s">
        <v>18</v>
      </c>
      <c r="O18" s="80"/>
      <c r="P18" s="77" t="s">
        <v>18</v>
      </c>
      <c r="Q18" s="81"/>
      <c r="R18" s="77" t="s">
        <v>18</v>
      </c>
      <c r="S18" s="80"/>
      <c r="T18" s="77" t="s">
        <v>17</v>
      </c>
      <c r="U18" s="82"/>
      <c r="V18" s="39"/>
    </row>
    <row r="19" spans="1:27" ht="16.2" thickBot="1">
      <c r="A19" s="6"/>
      <c r="B19" s="6"/>
      <c r="C19" s="83"/>
      <c r="D19" s="83"/>
      <c r="E19" s="83"/>
      <c r="F19" s="83"/>
      <c r="G19" s="83"/>
      <c r="H19" s="83"/>
      <c r="I19" s="84"/>
      <c r="J19" s="84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7" ht="15.6">
      <c r="A20" s="85" t="s">
        <v>59</v>
      </c>
      <c r="B20" s="86"/>
      <c r="C20" s="87" t="s">
        <v>60</v>
      </c>
      <c r="D20" s="88"/>
      <c r="E20" s="87"/>
      <c r="F20" s="89"/>
      <c r="G20" s="87"/>
      <c r="H20" s="90"/>
      <c r="I20" s="91"/>
      <c r="J20" s="92"/>
      <c r="K20" s="93"/>
      <c r="L20" s="94"/>
      <c r="M20" s="95"/>
      <c r="N20" s="96"/>
      <c r="O20" s="88"/>
      <c r="P20" s="97"/>
      <c r="Q20" s="88"/>
      <c r="R20" s="96"/>
      <c r="S20" s="88"/>
      <c r="T20" s="98"/>
      <c r="U20" s="99"/>
      <c r="AA20" s="73"/>
    </row>
    <row r="21" spans="1:27" ht="15.6">
      <c r="A21" s="22" t="s">
        <v>5</v>
      </c>
      <c r="B21" s="23" t="s">
        <v>61</v>
      </c>
      <c r="C21" s="24" t="s">
        <v>5</v>
      </c>
      <c r="D21" s="23" t="s">
        <v>62</v>
      </c>
      <c r="E21" s="24" t="s">
        <v>5</v>
      </c>
      <c r="F21" s="25" t="s">
        <v>63</v>
      </c>
      <c r="G21" s="24" t="s">
        <v>5</v>
      </c>
      <c r="H21" s="23" t="s">
        <v>64</v>
      </c>
      <c r="I21" s="24" t="s">
        <v>5</v>
      </c>
      <c r="J21" s="26" t="s">
        <v>65</v>
      </c>
      <c r="K21" s="6"/>
      <c r="L21" s="22" t="s">
        <v>5</v>
      </c>
      <c r="M21" s="52" t="s">
        <v>66</v>
      </c>
      <c r="N21" s="24" t="s">
        <v>5</v>
      </c>
      <c r="O21" s="23" t="s">
        <v>67</v>
      </c>
      <c r="P21" s="24" t="s">
        <v>5</v>
      </c>
      <c r="Q21" s="23" t="s">
        <v>68</v>
      </c>
      <c r="R21" s="24" t="s">
        <v>5</v>
      </c>
      <c r="S21" s="23" t="s">
        <v>69</v>
      </c>
      <c r="T21" s="24" t="s">
        <v>5</v>
      </c>
      <c r="U21" s="26" t="s">
        <v>70</v>
      </c>
    </row>
    <row r="22" spans="1:27" ht="15.6">
      <c r="A22" s="30" t="str">
        <f>IF(ISNA(VLOOKUP("*"&amp;B21&amp;"*",[1]Sheet1!$A$1:$F$93,5,FALSE)),"",IF(VLOOKUP("*"&amp;B21&amp;"*",[1]Sheet1!$A$1:$F$93,5,FALSE)="",MID(VLOOKUP("*"&amp;B21&amp;"*",[1]Sheet1!$A$1:$F$93,4,FALSE),5,8)&amp;VLOOKUP("*"&amp;B21&amp;"*",[1]Sheet1!$A$1:$F$93,6,FALSE),VLOOKUP("*"&amp;B21&amp;"*",[1]Sheet1!$A$1:$F$93,5,FALSE)&amp;VLOOKUP("*"&amp;B21&amp;"*",[1]Sheet1!$A$1:$F$93,6,FALSE)))</f>
        <v/>
      </c>
      <c r="B22" s="31"/>
      <c r="C22" s="30" t="str">
        <f>IF(ISNA(VLOOKUP("*"&amp;D21&amp;"*",[1]Sheet1!$A$1:$F$93,5,FALSE)),"",IF(VLOOKUP("*"&amp;D21&amp;"*",[1]Sheet1!$A$1:$F$93,5,FALSE)="",MID(VLOOKUP("*"&amp;D21&amp;"*",[1]Sheet1!$A$1:$F$93,4,FALSE),5,8)&amp;VLOOKUP("*"&amp;D21&amp;"*",[1]Sheet1!$A$1:$F$93,6,FALSE),VLOOKUP("*"&amp;D21&amp;"*",[1]Sheet1!$A$1:$F$93,5,FALSE)&amp;VLOOKUP("*"&amp;D21&amp;"*",[1]Sheet1!$A$1:$F$93,6,FALSE)))</f>
        <v/>
      </c>
      <c r="D22" s="31"/>
      <c r="E22" s="30" t="str">
        <f>IF(ISNA(VLOOKUP("*"&amp;F21&amp;"*",[1]Sheet1!$A$1:$F$93,5,FALSE)),"",IF(VLOOKUP("*"&amp;F21&amp;"*",[1]Sheet1!$A$1:$F$93,5,FALSE)="",MID(VLOOKUP("*"&amp;F21&amp;"*",[1]Sheet1!$A$1:$F$93,4,FALSE),5,8)&amp;VLOOKUP("*"&amp;F21&amp;"*",[1]Sheet1!$A$1:$F$93,6,FALSE),VLOOKUP("*"&amp;F21&amp;"*",[1]Sheet1!$A$1:$F$93,5,FALSE)&amp;VLOOKUP("*"&amp;F21&amp;"*",[1]Sheet1!$A$1:$F$93,6,FALSE)))</f>
        <v/>
      </c>
      <c r="F22" s="31"/>
      <c r="G22" s="30" t="str">
        <f>IF(ISNA(VLOOKUP("*"&amp;H21&amp;"*",[1]Sheet1!$A$1:$F$93,5,FALSE)),"",IF(VLOOKUP("*"&amp;H21&amp;"*",[1]Sheet1!$A$1:$F$93,5,FALSE)="",MID(VLOOKUP("*"&amp;H21&amp;"*",[1]Sheet1!$A$1:$F$93,4,FALSE),5,8)&amp;VLOOKUP("*"&amp;H21&amp;"*",[1]Sheet1!$A$1:$F$93,6,FALSE),VLOOKUP("*"&amp;H21&amp;"*",[1]Sheet1!$A$1:$F$93,5,FALSE)&amp;VLOOKUP("*"&amp;H21&amp;"*",[1]Sheet1!$A$1:$F$93,6,FALSE)))</f>
        <v/>
      </c>
      <c r="H22" s="31"/>
      <c r="I22" s="30" t="str">
        <f>IF(ISNA(VLOOKUP("*"&amp;J21&amp;"*",[1]Sheet1!$A$1:$F$93,5,FALSE)),"",IF(VLOOKUP("*"&amp;J21&amp;"*",[1]Sheet1!$A$1:$F$93,5,FALSE)="",MID(VLOOKUP("*"&amp;J21&amp;"*",[1]Sheet1!$A$1:$F$93,4,FALSE),5,8)&amp;VLOOKUP("*"&amp;J21&amp;"*",[1]Sheet1!$A$1:$F$93,6,FALSE),VLOOKUP("*"&amp;J21&amp;"*",[1]Sheet1!$A$1:$F$93,5,FALSE)&amp;VLOOKUP("*"&amp;J21&amp;"*",[1]Sheet1!$A$1:$F$93,6,FALSE)))</f>
        <v/>
      </c>
      <c r="J22" s="31"/>
      <c r="K22" s="100"/>
      <c r="L22" s="30" t="str">
        <f>IF(ISNA(VLOOKUP("*"&amp;M21&amp;"*",[1]Sheet1!$A$1:$F$93,5,FALSE)),"",IF(VLOOKUP("*"&amp;M21&amp;"*",[1]Sheet1!$A$1:$F$93,5,FALSE)="",MID(VLOOKUP("*"&amp;M21&amp;"*",[1]Sheet1!$A$1:$F$93,4,FALSE),5,8)&amp;VLOOKUP("*"&amp;M21&amp;"*",[1]Sheet1!$A$1:$F$93,6,FALSE),VLOOKUP("*"&amp;M21&amp;"*",[1]Sheet1!$A$1:$F$93,5,FALSE)&amp;VLOOKUP("*"&amp;M21&amp;"*",[1]Sheet1!$A$1:$F$93,6,FALSE)))</f>
        <v/>
      </c>
      <c r="M22" s="31"/>
      <c r="N22" s="30" t="str">
        <f>IF(ISNA(VLOOKUP("*"&amp;O21&amp;"*",[1]Sheet1!$A$1:$F$93,5,FALSE)),"",IF(VLOOKUP("*"&amp;O21&amp;"*",[1]Sheet1!$A$1:$F$93,5,FALSE)="",MID(VLOOKUP("*"&amp;O21&amp;"*",[1]Sheet1!$A$1:$F$93,4,FALSE),5,8)&amp;VLOOKUP("*"&amp;O21&amp;"*",[1]Sheet1!$A$1:$F$93,6,FALSE),VLOOKUP("*"&amp;O21&amp;"*",[1]Sheet1!$A$1:$F$93,5,FALSE)&amp;VLOOKUP("*"&amp;O21&amp;"*",[1]Sheet1!$A$1:$F$93,6,FALSE)))</f>
        <v/>
      </c>
      <c r="O22" s="31"/>
      <c r="P22" s="30" t="str">
        <f>IF(ISNA(VLOOKUP("*"&amp;Q21&amp;"*",[1]Sheet1!$A$1:$F$93,5,FALSE)),"",IF(VLOOKUP("*"&amp;Q21&amp;"*",[1]Sheet1!$A$1:$F$93,5,FALSE)="",MID(VLOOKUP("*"&amp;Q21&amp;"*",[1]Sheet1!$A$1:$F$93,4,FALSE),5,8)&amp;VLOOKUP("*"&amp;Q21&amp;"*",[1]Sheet1!$A$1:$F$93,6,FALSE),VLOOKUP("*"&amp;Q21&amp;"*",[1]Sheet1!$A$1:$F$93,5,FALSE)&amp;VLOOKUP("*"&amp;Q21&amp;"*",[1]Sheet1!$A$1:$F$93,6,FALSE)))</f>
        <v/>
      </c>
      <c r="Q22" s="31"/>
      <c r="R22" s="30" t="str">
        <f>IF(ISNA(VLOOKUP("*"&amp;S21&amp;"*",[1]Sheet1!$A$1:$F$93,5,FALSE)),"",IF(VLOOKUP("*"&amp;S21&amp;"*",[1]Sheet1!$A$1:$F$93,5,FALSE)="",MID(VLOOKUP("*"&amp;S21&amp;"*",[1]Sheet1!$A$1:$F$93,4,FALSE),5,8)&amp;VLOOKUP("*"&amp;S21&amp;"*",[1]Sheet1!$A$1:$F$93,6,FALSE),VLOOKUP("*"&amp;S21&amp;"*",[1]Sheet1!$A$1:$F$93,5,FALSE)&amp;VLOOKUP("*"&amp;S21&amp;"*",[1]Sheet1!$A$1:$F$93,6,FALSE)))</f>
        <v/>
      </c>
      <c r="S22" s="31"/>
      <c r="T22" s="30" t="str">
        <f>IF(ISNA(VLOOKUP("*"&amp;U21&amp;"*",[1]Sheet1!$A$1:$F$93,5,FALSE)),"",IF(VLOOKUP("*"&amp;U21&amp;"*",[1]Sheet1!$A$1:$F$93,5,FALSE)="",MID(VLOOKUP("*"&amp;U21&amp;"*",[1]Sheet1!$A$1:$F$93,4,FALSE),5,8)&amp;VLOOKUP("*"&amp;U21&amp;"*",[1]Sheet1!$A$1:$F$93,6,FALSE),VLOOKUP("*"&amp;U21&amp;"*",[1]Sheet1!$A$1:$F$93,5,FALSE)&amp;VLOOKUP("*"&amp;U21&amp;"*",[1]Sheet1!$A$1:$F$93,6,FALSE)))</f>
        <v/>
      </c>
      <c r="U22" s="31"/>
    </row>
    <row r="23" spans="1:27" ht="15.6">
      <c r="A23" s="32" t="s">
        <v>71</v>
      </c>
      <c r="B23" s="33"/>
      <c r="C23" s="34" t="s">
        <v>18</v>
      </c>
      <c r="D23" s="101"/>
      <c r="E23" s="34" t="s">
        <v>18</v>
      </c>
      <c r="F23" s="37"/>
      <c r="G23" s="34" t="s">
        <v>18</v>
      </c>
      <c r="H23" s="37"/>
      <c r="I23" s="102" t="s">
        <v>18</v>
      </c>
      <c r="J23" s="36"/>
      <c r="K23" s="6"/>
      <c r="L23" s="32" t="s">
        <v>18</v>
      </c>
      <c r="M23" s="37"/>
      <c r="N23" s="34" t="s">
        <v>18</v>
      </c>
      <c r="O23" s="37"/>
      <c r="P23" s="34" t="s">
        <v>18</v>
      </c>
      <c r="Q23" s="37"/>
      <c r="R23" s="34" t="s">
        <v>18</v>
      </c>
      <c r="S23" s="37"/>
      <c r="T23" s="34" t="s">
        <v>18</v>
      </c>
      <c r="U23" s="36"/>
      <c r="V23" s="39"/>
      <c r="W23" s="73"/>
    </row>
    <row r="24" spans="1:27" ht="15.6">
      <c r="A24" s="103" t="s">
        <v>72</v>
      </c>
      <c r="B24" s="104"/>
      <c r="C24" s="103"/>
      <c r="D24" s="104"/>
      <c r="E24" s="105" t="s">
        <v>73</v>
      </c>
      <c r="F24" s="106"/>
      <c r="G24" s="60"/>
      <c r="H24" s="61"/>
      <c r="I24" s="107"/>
      <c r="J24" s="108"/>
      <c r="K24" s="6"/>
      <c r="L24" s="109"/>
      <c r="M24" s="110"/>
      <c r="N24" s="58"/>
      <c r="O24" s="61"/>
      <c r="P24" s="58"/>
      <c r="Q24" s="61"/>
      <c r="R24" s="58"/>
      <c r="S24" s="61"/>
      <c r="T24" s="58"/>
      <c r="U24" s="111"/>
    </row>
    <row r="25" spans="1:27" ht="15.6">
      <c r="A25" s="22" t="s">
        <v>5</v>
      </c>
      <c r="B25" s="23" t="s">
        <v>74</v>
      </c>
      <c r="C25" s="24" t="s">
        <v>5</v>
      </c>
      <c r="D25" s="27" t="s">
        <v>75</v>
      </c>
      <c r="E25" s="24" t="s">
        <v>5</v>
      </c>
      <c r="F25" s="27" t="s">
        <v>76</v>
      </c>
      <c r="G25" s="24" t="s">
        <v>5</v>
      </c>
      <c r="H25" s="23" t="s">
        <v>77</v>
      </c>
      <c r="I25" s="24" t="s">
        <v>5</v>
      </c>
      <c r="J25" s="26" t="s">
        <v>78</v>
      </c>
      <c r="K25" s="6"/>
      <c r="L25" s="22" t="s">
        <v>5</v>
      </c>
      <c r="M25" s="62" t="s">
        <v>79</v>
      </c>
      <c r="N25" s="24" t="s">
        <v>5</v>
      </c>
      <c r="O25" s="23" t="s">
        <v>80</v>
      </c>
      <c r="P25" s="24" t="s">
        <v>5</v>
      </c>
      <c r="Q25" s="23" t="s">
        <v>81</v>
      </c>
      <c r="R25" s="24" t="s">
        <v>5</v>
      </c>
      <c r="S25" s="23" t="s">
        <v>82</v>
      </c>
      <c r="T25" s="24" t="s">
        <v>5</v>
      </c>
      <c r="U25" s="26" t="s">
        <v>83</v>
      </c>
    </row>
    <row r="26" spans="1:27" ht="15.6">
      <c r="A26" s="30" t="str">
        <f>IF(ISNA(VLOOKUP("*"&amp;B25&amp;"*",[1]Sheet1!$A$1:$F$93,5,FALSE)),"",IF(VLOOKUP("*"&amp;B25&amp;"*",[1]Sheet1!$A$1:$F$93,5,FALSE)="",MID(VLOOKUP("*"&amp;B25&amp;"*",[1]Sheet1!$A$1:$F$93,4,FALSE),5,8)&amp;VLOOKUP("*"&amp;B25&amp;"*",[1]Sheet1!$A$1:$F$93,6,FALSE),VLOOKUP("*"&amp;B25&amp;"*",[1]Sheet1!$A$1:$F$93,5,FALSE)&amp;VLOOKUP("*"&amp;B25&amp;"*",[1]Sheet1!$A$1:$F$93,6,FALSE)))</f>
        <v/>
      </c>
      <c r="B26" s="31"/>
      <c r="C26" s="30" t="str">
        <f>IF(ISNA(VLOOKUP("*"&amp;D25&amp;"*",[1]Sheet1!$A$1:$F$93,5,FALSE)),"",IF(VLOOKUP("*"&amp;D25&amp;"*",[1]Sheet1!$A$1:$F$93,5,FALSE)="",MID(VLOOKUP("*"&amp;D25&amp;"*",[1]Sheet1!$A$1:$F$93,4,FALSE),5,8)&amp;VLOOKUP("*"&amp;D25&amp;"*",[1]Sheet1!$A$1:$F$93,6,FALSE),VLOOKUP("*"&amp;D25&amp;"*",[1]Sheet1!$A$1:$F$93,5,FALSE)&amp;VLOOKUP("*"&amp;D25&amp;"*",[1]Sheet1!$A$1:$F$93,6,FALSE)))</f>
        <v/>
      </c>
      <c r="D26" s="31"/>
      <c r="E26" s="30" t="str">
        <f>IF(ISNA(VLOOKUP("*"&amp;F25&amp;"*",[1]Sheet1!$A$1:$F$93,5,FALSE)),"",IF(VLOOKUP("*"&amp;F25&amp;"*",[1]Sheet1!$A$1:$F$93,5,FALSE)="",MID(VLOOKUP("*"&amp;F25&amp;"*",[1]Sheet1!$A$1:$F$93,4,FALSE),5,8)&amp;VLOOKUP("*"&amp;F25&amp;"*",[1]Sheet1!$A$1:$F$93,6,FALSE),VLOOKUP("*"&amp;F25&amp;"*",[1]Sheet1!$A$1:$F$93,5,FALSE)&amp;VLOOKUP("*"&amp;F25&amp;"*",[1]Sheet1!$A$1:$F$93,6,FALSE)))</f>
        <v/>
      </c>
      <c r="F26" s="31"/>
      <c r="G26" s="30" t="str">
        <f>IF(ISNA(VLOOKUP("*"&amp;H25&amp;"*",[1]Sheet1!$A$1:$F$93,5,FALSE)),"",IF(VLOOKUP("*"&amp;H25&amp;"*",[1]Sheet1!$A$1:$F$93,5,FALSE)="",MID(VLOOKUP("*"&amp;H25&amp;"*",[1]Sheet1!$A$1:$F$93,4,FALSE),5,8)&amp;VLOOKUP("*"&amp;H25&amp;"*",[1]Sheet1!$A$1:$F$93,6,FALSE),VLOOKUP("*"&amp;H25&amp;"*",[1]Sheet1!$A$1:$F$93,5,FALSE)&amp;VLOOKUP("*"&amp;H25&amp;"*",[1]Sheet1!$A$1:$F$93,6,FALSE)))</f>
        <v/>
      </c>
      <c r="H26" s="31"/>
      <c r="I26" s="30" t="str">
        <f>IF(ISNA(VLOOKUP("*"&amp;J25&amp;"*",[1]Sheet1!$A$1:$F$93,5,FALSE)),"",IF(VLOOKUP("*"&amp;J25&amp;"*",[1]Sheet1!$A$1:$F$93,5,FALSE)="",MID(VLOOKUP("*"&amp;J25&amp;"*",[1]Sheet1!$A$1:$F$93,4,FALSE),5,8)&amp;VLOOKUP("*"&amp;J25&amp;"*",[1]Sheet1!$A$1:$F$93,6,FALSE),VLOOKUP("*"&amp;J25&amp;"*",[1]Sheet1!$A$1:$F$93,5,FALSE)&amp;VLOOKUP("*"&amp;J25&amp;"*",[1]Sheet1!$A$1:$F$93,6,FALSE)))</f>
        <v/>
      </c>
      <c r="J26" s="31"/>
      <c r="K26" s="100"/>
      <c r="L26" s="30" t="str">
        <f>IF(ISNA(VLOOKUP("*"&amp;M25&amp;"*",[1]Sheet1!$A$1:$F$93,5,FALSE)),"",IF(VLOOKUP("*"&amp;M25&amp;"*",[1]Sheet1!$A$1:$F$93,5,FALSE)="",MID(VLOOKUP("*"&amp;M25&amp;"*",[1]Sheet1!$A$1:$F$93,4,FALSE),5,8)&amp;VLOOKUP("*"&amp;M25&amp;"*",[1]Sheet1!$A$1:$F$93,6,FALSE),VLOOKUP("*"&amp;M25&amp;"*",[1]Sheet1!$A$1:$F$93,5,FALSE)&amp;VLOOKUP("*"&amp;M25&amp;"*",[1]Sheet1!$A$1:$F$93,6,FALSE)))</f>
        <v/>
      </c>
      <c r="M26" s="31"/>
      <c r="N26" s="30" t="str">
        <f>IF(ISNA(VLOOKUP("*"&amp;O25&amp;"*",[1]Sheet1!$A$1:$F$93,5,FALSE)),"",IF(VLOOKUP("*"&amp;O25&amp;"*",[1]Sheet1!$A$1:$F$93,5,FALSE)="",MID(VLOOKUP("*"&amp;O25&amp;"*",[1]Sheet1!$A$1:$F$93,4,FALSE),5,8)&amp;VLOOKUP("*"&amp;O25&amp;"*",[1]Sheet1!$A$1:$F$93,6,FALSE),VLOOKUP("*"&amp;O25&amp;"*",[1]Sheet1!$A$1:$F$93,5,FALSE)&amp;VLOOKUP("*"&amp;O25&amp;"*",[1]Sheet1!$A$1:$F$93,6,FALSE)))</f>
        <v/>
      </c>
      <c r="O26" s="31"/>
      <c r="P26" s="30" t="str">
        <f>IF(ISNA(VLOOKUP("*"&amp;Q25&amp;"*",[1]Sheet1!$A$1:$F$93,5,FALSE)),"",IF(VLOOKUP("*"&amp;Q25&amp;"*",[1]Sheet1!$A$1:$F$93,5,FALSE)="",MID(VLOOKUP("*"&amp;Q25&amp;"*",[1]Sheet1!$A$1:$F$93,4,FALSE),5,8)&amp;VLOOKUP("*"&amp;Q25&amp;"*",[1]Sheet1!$A$1:$F$93,6,FALSE),VLOOKUP("*"&amp;Q25&amp;"*",[1]Sheet1!$A$1:$F$93,5,FALSE)&amp;VLOOKUP("*"&amp;Q25&amp;"*",[1]Sheet1!$A$1:$F$93,6,FALSE)))</f>
        <v/>
      </c>
      <c r="Q26" s="31"/>
      <c r="R26" s="30" t="str">
        <f>IF(ISNA(VLOOKUP("*"&amp;S25&amp;"*",[1]Sheet1!$A$1:$F$93,5,FALSE)),"",IF(VLOOKUP("*"&amp;S25&amp;"*",[1]Sheet1!$A$1:$F$93,5,FALSE)="",MID(VLOOKUP("*"&amp;S25&amp;"*",[1]Sheet1!$A$1:$F$93,4,FALSE),5,8)&amp;VLOOKUP("*"&amp;S25&amp;"*",[1]Sheet1!$A$1:$F$93,6,FALSE),VLOOKUP("*"&amp;S25&amp;"*",[1]Sheet1!$A$1:$F$93,5,FALSE)&amp;VLOOKUP("*"&amp;S25&amp;"*",[1]Sheet1!$A$1:$F$93,6,FALSE)))</f>
        <v/>
      </c>
      <c r="S26" s="31"/>
      <c r="T26" s="30" t="str">
        <f>IF(ISNA(VLOOKUP("*"&amp;U25&amp;"*",[1]Sheet1!$A$1:$F$93,5,FALSE)),"",IF(VLOOKUP("*"&amp;U25&amp;"*",[1]Sheet1!$A$1:$F$93,5,FALSE)="",MID(VLOOKUP("*"&amp;U25&amp;"*",[1]Sheet1!$A$1:$F$93,4,FALSE),5,8)&amp;VLOOKUP("*"&amp;U25&amp;"*",[1]Sheet1!$A$1:$F$93,6,FALSE),VLOOKUP("*"&amp;U25&amp;"*",[1]Sheet1!$A$1:$F$93,5,FALSE)&amp;VLOOKUP("*"&amp;U25&amp;"*",[1]Sheet1!$A$1:$F$93,6,FALSE)))</f>
        <v/>
      </c>
      <c r="U26" s="31"/>
    </row>
    <row r="27" spans="1:27" ht="15.6">
      <c r="A27" s="32" t="s">
        <v>71</v>
      </c>
      <c r="B27" s="33"/>
      <c r="C27" s="34" t="s">
        <v>71</v>
      </c>
      <c r="D27" s="33"/>
      <c r="E27" s="34" t="s">
        <v>18</v>
      </c>
      <c r="F27" s="37"/>
      <c r="G27" s="34" t="s">
        <v>18</v>
      </c>
      <c r="H27" s="37"/>
      <c r="I27" s="102" t="s">
        <v>18</v>
      </c>
      <c r="J27" s="36"/>
      <c r="K27" s="6"/>
      <c r="L27" s="32" t="s">
        <v>18</v>
      </c>
      <c r="M27" s="37"/>
      <c r="N27" s="34" t="s">
        <v>18</v>
      </c>
      <c r="O27" s="37"/>
      <c r="P27" s="34" t="s">
        <v>18</v>
      </c>
      <c r="Q27" s="37"/>
      <c r="R27" s="34" t="s">
        <v>18</v>
      </c>
      <c r="S27" s="37"/>
      <c r="T27" s="34" t="s">
        <v>18</v>
      </c>
      <c r="U27" s="36"/>
    </row>
    <row r="28" spans="1:27" ht="15.6">
      <c r="A28" s="112" t="s">
        <v>59</v>
      </c>
      <c r="B28" s="113"/>
      <c r="C28" s="114" t="s">
        <v>84</v>
      </c>
      <c r="D28" s="115"/>
      <c r="E28" s="105" t="s">
        <v>85</v>
      </c>
      <c r="F28" s="106"/>
      <c r="G28" s="60"/>
      <c r="H28" s="116"/>
      <c r="I28" s="107"/>
      <c r="J28" s="108"/>
      <c r="K28" s="6"/>
      <c r="L28" s="109"/>
      <c r="M28" s="110"/>
      <c r="N28" s="58"/>
      <c r="O28" s="61"/>
      <c r="P28" s="58"/>
      <c r="Q28" s="61"/>
      <c r="R28" s="58"/>
      <c r="S28" s="61"/>
      <c r="T28" s="58"/>
      <c r="U28" s="111"/>
    </row>
    <row r="29" spans="1:27" ht="15.6">
      <c r="A29" s="22" t="s">
        <v>5</v>
      </c>
      <c r="B29" s="23" t="s">
        <v>86</v>
      </c>
      <c r="C29" s="24" t="s">
        <v>5</v>
      </c>
      <c r="D29" s="23" t="s">
        <v>87</v>
      </c>
      <c r="E29" s="24" t="s">
        <v>5</v>
      </c>
      <c r="F29" s="27" t="s">
        <v>88</v>
      </c>
      <c r="G29" s="24" t="s">
        <v>5</v>
      </c>
      <c r="H29" s="23" t="s">
        <v>89</v>
      </c>
      <c r="I29" s="24" t="s">
        <v>5</v>
      </c>
      <c r="J29" s="26" t="s">
        <v>90</v>
      </c>
      <c r="K29" s="6"/>
      <c r="L29" s="22" t="s">
        <v>5</v>
      </c>
      <c r="M29" s="62" t="s">
        <v>91</v>
      </c>
      <c r="N29" s="24" t="s">
        <v>5</v>
      </c>
      <c r="O29" s="23" t="s">
        <v>92</v>
      </c>
      <c r="P29" s="24" t="s">
        <v>5</v>
      </c>
      <c r="Q29" s="23" t="s">
        <v>93</v>
      </c>
      <c r="R29" s="24" t="s">
        <v>5</v>
      </c>
      <c r="S29" s="23" t="s">
        <v>94</v>
      </c>
      <c r="T29" s="24" t="s">
        <v>5</v>
      </c>
      <c r="U29" s="26" t="s">
        <v>95</v>
      </c>
    </row>
    <row r="30" spans="1:27" ht="15.6">
      <c r="A30" s="30" t="str">
        <f>IF(ISNA(VLOOKUP("*"&amp;B29&amp;"*",[1]Sheet1!$A$1:$F$93,5,FALSE)),"",IF(VLOOKUP("*"&amp;B29&amp;"*",[1]Sheet1!$A$1:$F$93,5,FALSE)="",MID(VLOOKUP("*"&amp;B29&amp;"*",[1]Sheet1!$A$1:$F$93,4,FALSE),5,8)&amp;VLOOKUP("*"&amp;B29&amp;"*",[1]Sheet1!$A$1:$F$93,6,FALSE),VLOOKUP("*"&amp;B29&amp;"*",[1]Sheet1!$A$1:$F$93,5,FALSE)&amp;VLOOKUP("*"&amp;B29&amp;"*",[1]Sheet1!$A$1:$F$93,6,FALSE)))</f>
        <v/>
      </c>
      <c r="B30" s="31"/>
      <c r="C30" s="30" t="str">
        <f>IF(ISNA(VLOOKUP("*"&amp;D29&amp;"*",[1]Sheet1!$A$1:$F$93,5,FALSE)),"",IF(VLOOKUP("*"&amp;D29&amp;"*",[1]Sheet1!$A$1:$F$93,5,FALSE)="",MID(VLOOKUP("*"&amp;D29&amp;"*",[1]Sheet1!$A$1:$F$93,4,FALSE),5,8)&amp;VLOOKUP("*"&amp;D29&amp;"*",[1]Sheet1!$A$1:$F$93,6,FALSE),VLOOKUP("*"&amp;D29&amp;"*",[1]Sheet1!$A$1:$F$93,5,FALSE)&amp;VLOOKUP("*"&amp;D29&amp;"*",[1]Sheet1!$A$1:$F$93,6,FALSE)))</f>
        <v/>
      </c>
      <c r="D30" s="31"/>
      <c r="E30" s="30" t="str">
        <f>IF(ISNA(VLOOKUP("*"&amp;F29&amp;"*",[1]Sheet1!$A$1:$F$93,5,FALSE)),"",IF(VLOOKUP("*"&amp;F29&amp;"*",[1]Sheet1!$A$1:$F$93,5,FALSE)="",MID(VLOOKUP("*"&amp;F29&amp;"*",[1]Sheet1!$A$1:$F$93,4,FALSE),5,8)&amp;VLOOKUP("*"&amp;F29&amp;"*",[1]Sheet1!$A$1:$F$93,6,FALSE),VLOOKUP("*"&amp;F29&amp;"*",[1]Sheet1!$A$1:$F$93,5,FALSE)&amp;VLOOKUP("*"&amp;F29&amp;"*",[1]Sheet1!$A$1:$F$93,6,FALSE)))</f>
        <v/>
      </c>
      <c r="F30" s="31"/>
      <c r="G30" s="30" t="str">
        <f>IF(ISNA(VLOOKUP("*"&amp;H29&amp;"*",[1]Sheet1!$A$1:$F$93,5,FALSE)),"",IF(VLOOKUP("*"&amp;H29&amp;"*",[1]Sheet1!$A$1:$F$93,5,FALSE)="",MID(VLOOKUP("*"&amp;H29&amp;"*",[1]Sheet1!$A$1:$F$93,4,FALSE),5,8)&amp;VLOOKUP("*"&amp;H29&amp;"*",[1]Sheet1!$A$1:$F$93,6,FALSE),VLOOKUP("*"&amp;H29&amp;"*",[1]Sheet1!$A$1:$F$93,5,FALSE)&amp;VLOOKUP("*"&amp;H29&amp;"*",[1]Sheet1!$A$1:$F$93,6,FALSE)))</f>
        <v/>
      </c>
      <c r="H30" s="31"/>
      <c r="I30" s="30" t="str">
        <f>IF(ISNA(VLOOKUP("*"&amp;J29&amp;"*",[1]Sheet1!$A$1:$F$93,5,FALSE)),"",IF(VLOOKUP("*"&amp;J29&amp;"*",[1]Sheet1!$A$1:$F$93,5,FALSE)="",MID(VLOOKUP("*"&amp;J29&amp;"*",[1]Sheet1!$A$1:$F$93,4,FALSE),5,8)&amp;VLOOKUP("*"&amp;J29&amp;"*",[1]Sheet1!$A$1:$F$93,6,FALSE),VLOOKUP("*"&amp;J29&amp;"*",[1]Sheet1!$A$1:$F$93,5,FALSE)&amp;VLOOKUP("*"&amp;J29&amp;"*",[1]Sheet1!$A$1:$F$93,6,FALSE)))</f>
        <v/>
      </c>
      <c r="J30" s="31"/>
      <c r="K30" s="100"/>
      <c r="L30" s="30" t="str">
        <f>IF(ISNA(VLOOKUP("*"&amp;M29&amp;"*",[1]Sheet1!$A$1:$F$93,5,FALSE)),"",IF(VLOOKUP("*"&amp;M29&amp;"*",[1]Sheet1!$A$1:$F$93,5,FALSE)="",MID(VLOOKUP("*"&amp;M29&amp;"*",[1]Sheet1!$A$1:$F$93,4,FALSE),5,8)&amp;VLOOKUP("*"&amp;M29&amp;"*",[1]Sheet1!$A$1:$F$93,6,FALSE),VLOOKUP("*"&amp;M29&amp;"*",[1]Sheet1!$A$1:$F$93,5,FALSE)&amp;VLOOKUP("*"&amp;M29&amp;"*",[1]Sheet1!$A$1:$F$93,6,FALSE)))</f>
        <v/>
      </c>
      <c r="M30" s="31"/>
      <c r="N30" s="30" t="str">
        <f>IF(ISNA(VLOOKUP("*"&amp;O29&amp;"*",[1]Sheet1!$A$1:$F$93,5,FALSE)),"",IF(VLOOKUP("*"&amp;O29&amp;"*",[1]Sheet1!$A$1:$F$93,5,FALSE)="",MID(VLOOKUP("*"&amp;O29&amp;"*",[1]Sheet1!$A$1:$F$93,4,FALSE),5,8)&amp;VLOOKUP("*"&amp;O29&amp;"*",[1]Sheet1!$A$1:$F$93,6,FALSE),VLOOKUP("*"&amp;O29&amp;"*",[1]Sheet1!$A$1:$F$93,5,FALSE)&amp;VLOOKUP("*"&amp;O29&amp;"*",[1]Sheet1!$A$1:$F$93,6,FALSE)))</f>
        <v/>
      </c>
      <c r="O30" s="31"/>
      <c r="P30" s="30" t="str">
        <f>IF(ISNA(VLOOKUP("*"&amp;Q29&amp;"*",[1]Sheet1!$A$1:$F$93,5,FALSE)),"",IF(VLOOKUP("*"&amp;Q29&amp;"*",[1]Sheet1!$A$1:$F$93,5,FALSE)="",MID(VLOOKUP("*"&amp;Q29&amp;"*",[1]Sheet1!$A$1:$F$93,4,FALSE),5,8)&amp;VLOOKUP("*"&amp;Q29&amp;"*",[1]Sheet1!$A$1:$F$93,6,FALSE),VLOOKUP("*"&amp;Q29&amp;"*",[1]Sheet1!$A$1:$F$93,5,FALSE)&amp;VLOOKUP("*"&amp;Q29&amp;"*",[1]Sheet1!$A$1:$F$93,6,FALSE)))</f>
        <v/>
      </c>
      <c r="Q30" s="31"/>
      <c r="R30" s="30" t="str">
        <f>IF(ISNA(VLOOKUP("*"&amp;S29&amp;"*",[1]Sheet1!$A$1:$F$93,5,FALSE)),"",IF(VLOOKUP("*"&amp;S29&amp;"*",[1]Sheet1!$A$1:$F$93,5,FALSE)="",MID(VLOOKUP("*"&amp;S29&amp;"*",[1]Sheet1!$A$1:$F$93,4,FALSE),5,8)&amp;VLOOKUP("*"&amp;S29&amp;"*",[1]Sheet1!$A$1:$F$93,6,FALSE),VLOOKUP("*"&amp;S29&amp;"*",[1]Sheet1!$A$1:$F$93,5,FALSE)&amp;VLOOKUP("*"&amp;S29&amp;"*",[1]Sheet1!$A$1:$F$93,6,FALSE)))</f>
        <v/>
      </c>
      <c r="S30" s="31"/>
      <c r="T30" s="30" t="str">
        <f>IF(ISNA(VLOOKUP("*"&amp;U29&amp;"*",[1]Sheet1!$A$1:$F$93,5,FALSE)),"",IF(VLOOKUP("*"&amp;U29&amp;"*",[1]Sheet1!$A$1:$F$93,5,FALSE)="",MID(VLOOKUP("*"&amp;U29&amp;"*",[1]Sheet1!$A$1:$F$93,4,FALSE),5,8)&amp;VLOOKUP("*"&amp;U29&amp;"*",[1]Sheet1!$A$1:$F$93,6,FALSE),VLOOKUP("*"&amp;U29&amp;"*",[1]Sheet1!$A$1:$F$93,5,FALSE)&amp;VLOOKUP("*"&amp;U29&amp;"*",[1]Sheet1!$A$1:$F$93,6,FALSE)))</f>
        <v/>
      </c>
      <c r="U30" s="31"/>
    </row>
    <row r="31" spans="1:27" ht="16.2" thickBot="1">
      <c r="A31" s="74" t="s">
        <v>71</v>
      </c>
      <c r="B31" s="117"/>
      <c r="C31" s="76" t="s">
        <v>71</v>
      </c>
      <c r="D31" s="75"/>
      <c r="E31" s="77" t="s">
        <v>18</v>
      </c>
      <c r="F31" s="80"/>
      <c r="G31" s="77" t="s">
        <v>18</v>
      </c>
      <c r="H31" s="81"/>
      <c r="I31" s="118" t="s">
        <v>18</v>
      </c>
      <c r="J31" s="79"/>
      <c r="K31" s="6"/>
      <c r="L31" s="74" t="s">
        <v>18</v>
      </c>
      <c r="M31" s="81"/>
      <c r="N31" s="77" t="s">
        <v>18</v>
      </c>
      <c r="O31" s="80"/>
      <c r="P31" s="77" t="s">
        <v>18</v>
      </c>
      <c r="Q31" s="81"/>
      <c r="R31" s="77" t="s">
        <v>18</v>
      </c>
      <c r="S31" s="80"/>
      <c r="T31" s="77" t="s">
        <v>18</v>
      </c>
      <c r="U31" s="79"/>
      <c r="V31" s="39"/>
    </row>
    <row r="32" spans="1:27" ht="33.75" customHeight="1">
      <c r="A32" s="119" t="s">
        <v>96</v>
      </c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39"/>
    </row>
  </sheetData>
  <mergeCells count="218">
    <mergeCell ref="N31:O31"/>
    <mergeCell ref="P31:Q31"/>
    <mergeCell ref="R31:S31"/>
    <mergeCell ref="T31:U31"/>
    <mergeCell ref="A32:U32"/>
    <mergeCell ref="N30:O30"/>
    <mergeCell ref="P30:Q30"/>
    <mergeCell ref="R30:S30"/>
    <mergeCell ref="T30:U30"/>
    <mergeCell ref="A31:B31"/>
    <mergeCell ref="C31:D31"/>
    <mergeCell ref="E31:F31"/>
    <mergeCell ref="G31:H31"/>
    <mergeCell ref="I31:J31"/>
    <mergeCell ref="L31:M31"/>
    <mergeCell ref="N28:O28"/>
    <mergeCell ref="P28:Q28"/>
    <mergeCell ref="R28:S28"/>
    <mergeCell ref="T28:U28"/>
    <mergeCell ref="A30:B30"/>
    <mergeCell ref="C30:D30"/>
    <mergeCell ref="E30:F30"/>
    <mergeCell ref="G30:H30"/>
    <mergeCell ref="I30:J30"/>
    <mergeCell ref="L30:M30"/>
    <mergeCell ref="N27:O27"/>
    <mergeCell ref="P27:Q27"/>
    <mergeCell ref="R27:S27"/>
    <mergeCell ref="T27:U27"/>
    <mergeCell ref="A28:B28"/>
    <mergeCell ref="C28:D28"/>
    <mergeCell ref="E28:F28"/>
    <mergeCell ref="G28:H28"/>
    <mergeCell ref="I28:J28"/>
    <mergeCell ref="L28:M28"/>
    <mergeCell ref="N26:O26"/>
    <mergeCell ref="P26:Q26"/>
    <mergeCell ref="R26:S26"/>
    <mergeCell ref="T26:U26"/>
    <mergeCell ref="A27:B27"/>
    <mergeCell ref="C27:D27"/>
    <mergeCell ref="E27:F27"/>
    <mergeCell ref="G27:H27"/>
    <mergeCell ref="I27:J27"/>
    <mergeCell ref="L27:M27"/>
    <mergeCell ref="N24:O24"/>
    <mergeCell ref="P24:Q24"/>
    <mergeCell ref="R24:S24"/>
    <mergeCell ref="T24:U24"/>
    <mergeCell ref="A26:B26"/>
    <mergeCell ref="C26:D26"/>
    <mergeCell ref="E26:F26"/>
    <mergeCell ref="G26:H26"/>
    <mergeCell ref="I26:J26"/>
    <mergeCell ref="L26:M26"/>
    <mergeCell ref="N23:O23"/>
    <mergeCell ref="P23:Q23"/>
    <mergeCell ref="R23:S23"/>
    <mergeCell ref="T23:U23"/>
    <mergeCell ref="A24:B24"/>
    <mergeCell ref="C24:D24"/>
    <mergeCell ref="E24:F24"/>
    <mergeCell ref="G24:H24"/>
    <mergeCell ref="I24:J24"/>
    <mergeCell ref="L24:M24"/>
    <mergeCell ref="N22:O22"/>
    <mergeCell ref="P22:Q22"/>
    <mergeCell ref="R22:S22"/>
    <mergeCell ref="T22:U22"/>
    <mergeCell ref="A23:B23"/>
    <mergeCell ref="C23:D23"/>
    <mergeCell ref="E23:F23"/>
    <mergeCell ref="G23:H23"/>
    <mergeCell ref="I23:J23"/>
    <mergeCell ref="L23:M23"/>
    <mergeCell ref="N20:O20"/>
    <mergeCell ref="P20:Q20"/>
    <mergeCell ref="R20:S20"/>
    <mergeCell ref="T20:U20"/>
    <mergeCell ref="A22:B22"/>
    <mergeCell ref="C22:D22"/>
    <mergeCell ref="E22:F22"/>
    <mergeCell ref="G22:H22"/>
    <mergeCell ref="I22:J22"/>
    <mergeCell ref="L22:M22"/>
    <mergeCell ref="A20:B20"/>
    <mergeCell ref="C20:D20"/>
    <mergeCell ref="E20:F20"/>
    <mergeCell ref="G20:H20"/>
    <mergeCell ref="I20:J20"/>
    <mergeCell ref="L20:M20"/>
    <mergeCell ref="P18:Q18"/>
    <mergeCell ref="R18:S18"/>
    <mergeCell ref="T18:U18"/>
    <mergeCell ref="C19:D19"/>
    <mergeCell ref="E19:F19"/>
    <mergeCell ref="G19:H19"/>
    <mergeCell ref="I19:J19"/>
    <mergeCell ref="P17:Q17"/>
    <mergeCell ref="R17:S17"/>
    <mergeCell ref="T17:U17"/>
    <mergeCell ref="A18:B18"/>
    <mergeCell ref="C18:D18"/>
    <mergeCell ref="E18:F18"/>
    <mergeCell ref="G18:H18"/>
    <mergeCell ref="I18:J18"/>
    <mergeCell ref="L18:M18"/>
    <mergeCell ref="N18:O18"/>
    <mergeCell ref="P15:Q15"/>
    <mergeCell ref="R15:S15"/>
    <mergeCell ref="T15:U15"/>
    <mergeCell ref="A17:B17"/>
    <mergeCell ref="C17:D17"/>
    <mergeCell ref="E17:F17"/>
    <mergeCell ref="G17:H17"/>
    <mergeCell ref="I17:J17"/>
    <mergeCell ref="L17:M17"/>
    <mergeCell ref="N17:O17"/>
    <mergeCell ref="P14:Q14"/>
    <mergeCell ref="R14:S14"/>
    <mergeCell ref="T14:U14"/>
    <mergeCell ref="A15:B15"/>
    <mergeCell ref="C15:D15"/>
    <mergeCell ref="E15:F15"/>
    <mergeCell ref="G15:H15"/>
    <mergeCell ref="I15:J15"/>
    <mergeCell ref="L15:M15"/>
    <mergeCell ref="N15:O15"/>
    <mergeCell ref="P13:Q13"/>
    <mergeCell ref="R13:S13"/>
    <mergeCell ref="T13:U13"/>
    <mergeCell ref="A14:B14"/>
    <mergeCell ref="C14:D14"/>
    <mergeCell ref="E14:F14"/>
    <mergeCell ref="G14:H14"/>
    <mergeCell ref="I14:J14"/>
    <mergeCell ref="L14:M14"/>
    <mergeCell ref="N14:O14"/>
    <mergeCell ref="P11:Q11"/>
    <mergeCell ref="R11:S11"/>
    <mergeCell ref="T11:U11"/>
    <mergeCell ref="A13:B13"/>
    <mergeCell ref="C13:D13"/>
    <mergeCell ref="E13:F13"/>
    <mergeCell ref="G13:H13"/>
    <mergeCell ref="I13:J13"/>
    <mergeCell ref="L13:M13"/>
    <mergeCell ref="N13:O13"/>
    <mergeCell ref="P10:Q10"/>
    <mergeCell ref="R10:S10"/>
    <mergeCell ref="T10:U10"/>
    <mergeCell ref="A11:B11"/>
    <mergeCell ref="C11:D11"/>
    <mergeCell ref="E11:F11"/>
    <mergeCell ref="G11:H11"/>
    <mergeCell ref="I11:J11"/>
    <mergeCell ref="L11:M11"/>
    <mergeCell ref="N11:O11"/>
    <mergeCell ref="P9:Q9"/>
    <mergeCell ref="R9:S9"/>
    <mergeCell ref="T9:U9"/>
    <mergeCell ref="A10:B10"/>
    <mergeCell ref="C10:D10"/>
    <mergeCell ref="E10:F10"/>
    <mergeCell ref="G10:H10"/>
    <mergeCell ref="I10:J10"/>
    <mergeCell ref="L10:M10"/>
    <mergeCell ref="N10:O10"/>
    <mergeCell ref="P7:Q7"/>
    <mergeCell ref="R7:S7"/>
    <mergeCell ref="T7:U7"/>
    <mergeCell ref="A9:B9"/>
    <mergeCell ref="C9:D9"/>
    <mergeCell ref="E9:F9"/>
    <mergeCell ref="G9:H9"/>
    <mergeCell ref="I9:J9"/>
    <mergeCell ref="L9:M9"/>
    <mergeCell ref="N9:O9"/>
    <mergeCell ref="P6:Q6"/>
    <mergeCell ref="R6:S6"/>
    <mergeCell ref="T6:U6"/>
    <mergeCell ref="A7:B7"/>
    <mergeCell ref="C7:D7"/>
    <mergeCell ref="E7:F7"/>
    <mergeCell ref="G7:H7"/>
    <mergeCell ref="I7:J7"/>
    <mergeCell ref="L7:M7"/>
    <mergeCell ref="N7:O7"/>
    <mergeCell ref="P5:Q5"/>
    <mergeCell ref="R5:S5"/>
    <mergeCell ref="T5:U5"/>
    <mergeCell ref="A6:B6"/>
    <mergeCell ref="C6:D6"/>
    <mergeCell ref="E6:F6"/>
    <mergeCell ref="G6:H6"/>
    <mergeCell ref="I6:J6"/>
    <mergeCell ref="L6:M6"/>
    <mergeCell ref="N6:O6"/>
    <mergeCell ref="P3:Q3"/>
    <mergeCell ref="R3:S3"/>
    <mergeCell ref="T3:U3"/>
    <mergeCell ref="A5:B5"/>
    <mergeCell ref="C5:D5"/>
    <mergeCell ref="E5:F5"/>
    <mergeCell ref="G5:H5"/>
    <mergeCell ref="I5:J5"/>
    <mergeCell ref="L5:M5"/>
    <mergeCell ref="N5:O5"/>
    <mergeCell ref="A1:U1"/>
    <mergeCell ref="C2:F2"/>
    <mergeCell ref="R2:U2"/>
    <mergeCell ref="A3:B3"/>
    <mergeCell ref="C3:D3"/>
    <mergeCell ref="E3:F3"/>
    <mergeCell ref="G3:H3"/>
    <mergeCell ref="I3:J3"/>
    <mergeCell ref="L3:M3"/>
    <mergeCell ref="N3:O3"/>
  </mergeCells>
  <conditionalFormatting sqref="A5:J5 A9:J9 L5:U5 L9:U9 A13:U13 A17:U17 A22:U22 K26:U26 A30:U30">
    <cfRule type="notContainsBlanks" dxfId="44" priority="3">
      <formula>LEN(TRIM(A5))&gt;0</formula>
    </cfRule>
  </conditionalFormatting>
  <conditionalFormatting sqref="E11:F11">
    <cfRule type="notContainsBlanks" dxfId="43" priority="2">
      <formula>LEN(TRIM(E11))&gt;0</formula>
    </cfRule>
  </conditionalFormatting>
  <conditionalFormatting sqref="A26:J26">
    <cfRule type="notContainsBlanks" dxfId="42" priority="1">
      <formula>LEN(TRIM(A26))&gt;0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"/>
  <sheetViews>
    <sheetView workbookViewId="0">
      <selection activeCell="K8" sqref="K8"/>
    </sheetView>
  </sheetViews>
  <sheetFormatPr defaultColWidth="9.109375" defaultRowHeight="14.4"/>
  <cols>
    <col min="1" max="22" width="8.5546875" style="2" customWidth="1"/>
    <col min="23" max="16384" width="9.109375" style="2"/>
  </cols>
  <sheetData>
    <row r="1" spans="1:21" ht="30.6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6.2" thickBot="1">
      <c r="A2" s="3"/>
      <c r="B2" s="3"/>
      <c r="C2" s="4"/>
      <c r="D2" s="4"/>
      <c r="E2" s="4"/>
      <c r="F2" s="4"/>
      <c r="G2" s="3"/>
      <c r="H2" s="3"/>
      <c r="I2" s="3"/>
      <c r="J2" s="5"/>
      <c r="K2" s="6"/>
      <c r="L2" s="3"/>
      <c r="M2" s="3"/>
      <c r="N2" s="3"/>
      <c r="O2" s="3"/>
      <c r="P2" s="3"/>
      <c r="Q2" s="3"/>
      <c r="R2" s="120">
        <f ca="1">NOW()</f>
        <v>45536.573097337961</v>
      </c>
      <c r="S2" s="120"/>
      <c r="T2" s="120"/>
      <c r="U2" s="120"/>
    </row>
    <row r="3" spans="1:21" ht="21.6" thickTop="1">
      <c r="A3" s="121" t="s">
        <v>98</v>
      </c>
      <c r="B3" s="122"/>
      <c r="C3" s="123" t="s">
        <v>98</v>
      </c>
      <c r="D3" s="124"/>
      <c r="E3" s="123" t="s">
        <v>98</v>
      </c>
      <c r="F3" s="124"/>
      <c r="G3" s="123" t="s">
        <v>98</v>
      </c>
      <c r="H3" s="124"/>
      <c r="I3" s="123" t="s">
        <v>98</v>
      </c>
      <c r="J3" s="125"/>
      <c r="K3" s="6"/>
      <c r="L3" s="126"/>
      <c r="M3" s="127"/>
      <c r="N3" s="128"/>
      <c r="O3" s="129"/>
      <c r="P3" s="128"/>
      <c r="Q3" s="130"/>
      <c r="R3" s="131"/>
      <c r="S3" s="132"/>
      <c r="T3" s="128"/>
      <c r="U3" s="133"/>
    </row>
    <row r="4" spans="1:21" ht="15.6">
      <c r="A4" s="134" t="s">
        <v>99</v>
      </c>
      <c r="B4" s="135" t="s">
        <v>100</v>
      </c>
      <c r="C4" s="24" t="s">
        <v>99</v>
      </c>
      <c r="D4" s="135" t="s">
        <v>101</v>
      </c>
      <c r="E4" s="24" t="s">
        <v>99</v>
      </c>
      <c r="F4" s="135" t="s">
        <v>102</v>
      </c>
      <c r="G4" s="24" t="s">
        <v>99</v>
      </c>
      <c r="H4" s="135" t="s">
        <v>103</v>
      </c>
      <c r="I4" s="24" t="s">
        <v>99</v>
      </c>
      <c r="J4" s="136" t="s">
        <v>104</v>
      </c>
      <c r="K4" s="6"/>
      <c r="L4" s="137" t="s">
        <v>99</v>
      </c>
      <c r="M4" s="138" t="s">
        <v>105</v>
      </c>
      <c r="N4" s="139" t="s">
        <v>99</v>
      </c>
      <c r="O4" s="138" t="s">
        <v>106</v>
      </c>
      <c r="P4" s="24" t="s">
        <v>99</v>
      </c>
      <c r="Q4" s="135" t="s">
        <v>107</v>
      </c>
      <c r="R4" s="24" t="s">
        <v>99</v>
      </c>
      <c r="S4" s="140" t="s">
        <v>108</v>
      </c>
      <c r="T4" s="24" t="s">
        <v>99</v>
      </c>
      <c r="U4" s="141" t="s">
        <v>109</v>
      </c>
    </row>
    <row r="5" spans="1:21" ht="15.6">
      <c r="A5" s="142" t="str">
        <f>IF(ISNA(VLOOKUP("*"&amp;B4&amp;"*",[3]Sheet1!$A$1:$F$93,5,FALSE)),"",IF(VLOOKUP("*"&amp;B4&amp;"*",[3]Sheet1!$A$1:$F$93,5,FALSE)="",MID(VLOOKUP("*"&amp;B4&amp;"*",[3]Sheet1!$A$1:$F$93,4,FALSE),5,8)&amp;VLOOKUP("*"&amp;B4&amp;"*",[3]Sheet1!$A$1:$F$93,6,FALSE),VLOOKUP("*"&amp;B4&amp;"*",[3]Sheet1!$A$1:$F$93,5,FALSE)&amp;VLOOKUP("*"&amp;B4&amp;"*",[3]Sheet1!$A$1:$F$93,6,FALSE)))</f>
        <v/>
      </c>
      <c r="B5" s="143"/>
      <c r="C5" s="142" t="str">
        <f>IF(ISNA(VLOOKUP("*"&amp;D4&amp;"*",[3]Sheet1!$A$1:$F$93,5,FALSE)),"",IF(VLOOKUP("*"&amp;D4&amp;"*",[3]Sheet1!$A$1:$F$93,5,FALSE)="",MID(VLOOKUP("*"&amp;D4&amp;"*",[3]Sheet1!$A$1:$F$93,4,FALSE),5,8)&amp;VLOOKUP("*"&amp;D4&amp;"*",[3]Sheet1!$A$1:$F$93,6,FALSE),VLOOKUP("*"&amp;D4&amp;"*",[3]Sheet1!$A$1:$F$93,5,FALSE)&amp;VLOOKUP("*"&amp;D4&amp;"*",[3]Sheet1!$A$1:$F$93,6,FALSE)))</f>
        <v/>
      </c>
      <c r="D5" s="143"/>
      <c r="E5" s="142" t="str">
        <f>IF(ISNA(VLOOKUP("*"&amp;F4&amp;"*",[3]Sheet1!$A$1:$F$93,5,FALSE)),"",IF(VLOOKUP("*"&amp;F4&amp;"*",[3]Sheet1!$A$1:$F$93,5,FALSE)="",MID(VLOOKUP("*"&amp;F4&amp;"*",[3]Sheet1!$A$1:$F$93,4,FALSE),5,8)&amp;VLOOKUP("*"&amp;F4&amp;"*",[3]Sheet1!$A$1:$F$93,6,FALSE),VLOOKUP("*"&amp;F4&amp;"*",[3]Sheet1!$A$1:$F$93,5,FALSE)&amp;VLOOKUP("*"&amp;F4&amp;"*",[3]Sheet1!$A$1:$F$93,6,FALSE)))</f>
        <v/>
      </c>
      <c r="F5" s="143"/>
      <c r="G5" s="142" t="str">
        <f>IF(ISNA(VLOOKUP("*"&amp;H4&amp;"*",[3]Sheet1!$A$1:$F$93,5,FALSE)),"",IF(VLOOKUP("*"&amp;H4&amp;"*",[3]Sheet1!$A$1:$F$93,5,FALSE)="",MID(VLOOKUP("*"&amp;H4&amp;"*",[3]Sheet1!$A$1:$F$93,4,FALSE),5,8)&amp;VLOOKUP("*"&amp;H4&amp;"*",[3]Sheet1!$A$1:$F$93,6,FALSE),VLOOKUP("*"&amp;H4&amp;"*",[3]Sheet1!$A$1:$F$93,5,FALSE)&amp;VLOOKUP("*"&amp;H4&amp;"*",[3]Sheet1!$A$1:$F$93,6,FALSE)))</f>
        <v/>
      </c>
      <c r="H5" s="143"/>
      <c r="I5" s="142" t="str">
        <f>IF(ISNA(VLOOKUP("*"&amp;J4&amp;"*",[3]Sheet1!$A$1:$F$93,5,FALSE)),"",IF(VLOOKUP("*"&amp;J4&amp;"*",[3]Sheet1!$A$1:$F$93,5,FALSE)="",MID(VLOOKUP("*"&amp;J4&amp;"*",[3]Sheet1!$A$1:$F$93,4,FALSE),5,8)&amp;VLOOKUP("*"&amp;J4&amp;"*",[3]Sheet1!$A$1:$F$93,6,FALSE),VLOOKUP("*"&amp;J4&amp;"*",[3]Sheet1!$A$1:$F$93,5,FALSE)&amp;VLOOKUP("*"&amp;J4&amp;"*",[3]Sheet1!$A$1:$F$93,6,FALSE)))</f>
        <v/>
      </c>
      <c r="J5" s="143"/>
      <c r="K5" s="6"/>
      <c r="L5" s="142" t="str">
        <f>IF(ISNA(VLOOKUP("*"&amp;M4&amp;"*",[3]Sheet1!$A$1:$F$93,5,FALSE)),"",IF(VLOOKUP("*"&amp;M4&amp;"*",[3]Sheet1!$A$1:$F$93,5,FALSE)="",MID(VLOOKUP("*"&amp;M4&amp;"*",[3]Sheet1!$A$1:$F$93,4,FALSE),5,8)&amp;VLOOKUP("*"&amp;M4&amp;"*",[3]Sheet1!$A$1:$F$93,6,FALSE),VLOOKUP("*"&amp;M4&amp;"*",[3]Sheet1!$A$1:$F$93,5,FALSE)&amp;VLOOKUP("*"&amp;M4&amp;"*",[3]Sheet1!$A$1:$F$93,6,FALSE)))</f>
        <v/>
      </c>
      <c r="M5" s="143"/>
      <c r="N5" s="142" t="str">
        <f>IF(ISNA(VLOOKUP("*"&amp;O4&amp;"*",[3]Sheet1!$A$1:$F$93,5,FALSE)),"",IF(VLOOKUP("*"&amp;O4&amp;"*",[3]Sheet1!$A$1:$F$93,5,FALSE)="",MID(VLOOKUP("*"&amp;O4&amp;"*",[3]Sheet1!$A$1:$F$93,4,FALSE),5,8)&amp;VLOOKUP("*"&amp;O4&amp;"*",[3]Sheet1!$A$1:$F$93,6,FALSE),VLOOKUP("*"&amp;O4&amp;"*",[3]Sheet1!$A$1:$F$93,5,FALSE)&amp;VLOOKUP("*"&amp;O4&amp;"*",[3]Sheet1!$A$1:$F$93,6,FALSE)))</f>
        <v/>
      </c>
      <c r="O5" s="143"/>
      <c r="P5" s="142" t="str">
        <f>IF(ISNA(VLOOKUP("*"&amp;Q4&amp;"*",[3]Sheet1!$A$1:$F$93,5,FALSE)),"",IF(VLOOKUP("*"&amp;Q4&amp;"*",[3]Sheet1!$A$1:$F$93,5,FALSE)="",MID(VLOOKUP("*"&amp;Q4&amp;"*",[3]Sheet1!$A$1:$F$93,4,FALSE),5,8)&amp;VLOOKUP("*"&amp;Q4&amp;"*",[3]Sheet1!$A$1:$F$93,6,FALSE),VLOOKUP("*"&amp;Q4&amp;"*",[3]Sheet1!$A$1:$F$93,5,FALSE)&amp;VLOOKUP("*"&amp;Q4&amp;"*",[3]Sheet1!$A$1:$F$93,6,FALSE)))</f>
        <v/>
      </c>
      <c r="Q5" s="143"/>
      <c r="R5" s="142" t="str">
        <f>IF(ISNA(VLOOKUP("*"&amp;S4&amp;"*",[3]Sheet1!$A$1:$F$93,5,FALSE)),"",IF(VLOOKUP("*"&amp;S4&amp;"*",[3]Sheet1!$A$1:$F$93,5,FALSE)="",MID(VLOOKUP("*"&amp;S4&amp;"*",[3]Sheet1!$A$1:$F$93,4,FALSE),5,8)&amp;VLOOKUP("*"&amp;S4&amp;"*",[3]Sheet1!$A$1:$F$93,6,FALSE),VLOOKUP("*"&amp;S4&amp;"*",[3]Sheet1!$A$1:$F$93,5,FALSE)&amp;VLOOKUP("*"&amp;S4&amp;"*",[3]Sheet1!$A$1:$F$93,6,FALSE)))</f>
        <v/>
      </c>
      <c r="S5" s="143"/>
      <c r="T5" s="142" t="str">
        <f>IF(ISNA(VLOOKUP("*"&amp;U4&amp;"*",[3]Sheet1!$A$1:$F$93,5,FALSE)),"",IF(VLOOKUP("*"&amp;U4&amp;"*",[3]Sheet1!$A$1:$F$93,5,FALSE)="",MID(VLOOKUP("*"&amp;U4&amp;"*",[3]Sheet1!$A$1:$F$93,4,FALSE),5,8)&amp;VLOOKUP("*"&amp;U4&amp;"*",[3]Sheet1!$A$1:$F$93,6,FALSE),VLOOKUP("*"&amp;U4&amp;"*",[3]Sheet1!$A$1:$F$93,5,FALSE)&amp;VLOOKUP("*"&amp;U4&amp;"*",[3]Sheet1!$A$1:$F$93,6,FALSE)))</f>
        <v/>
      </c>
      <c r="U5" s="143"/>
    </row>
    <row r="6" spans="1:21" ht="15.6">
      <c r="A6" s="144" t="s">
        <v>110</v>
      </c>
      <c r="B6" s="102"/>
      <c r="C6" s="145" t="s">
        <v>110</v>
      </c>
      <c r="D6" s="146"/>
      <c r="E6" s="102" t="s">
        <v>110</v>
      </c>
      <c r="F6" s="146"/>
      <c r="G6" s="102" t="s">
        <v>110</v>
      </c>
      <c r="H6" s="146"/>
      <c r="I6" s="102" t="s">
        <v>110</v>
      </c>
      <c r="J6" s="147"/>
      <c r="K6" s="6"/>
      <c r="L6" s="148" t="s">
        <v>110</v>
      </c>
      <c r="M6" s="149"/>
      <c r="N6" s="150" t="s">
        <v>110</v>
      </c>
      <c r="O6" s="149"/>
      <c r="P6" s="102" t="s">
        <v>110</v>
      </c>
      <c r="Q6" s="146"/>
      <c r="R6" s="102" t="s">
        <v>110</v>
      </c>
      <c r="S6" s="146"/>
      <c r="T6" s="102" t="s">
        <v>110</v>
      </c>
      <c r="U6" s="147"/>
    </row>
    <row r="7" spans="1:21" ht="15.6">
      <c r="A7" s="151" t="s">
        <v>98</v>
      </c>
      <c r="B7" s="152"/>
      <c r="C7" s="153" t="s">
        <v>98</v>
      </c>
      <c r="D7" s="154"/>
      <c r="E7" s="153" t="s">
        <v>98</v>
      </c>
      <c r="F7" s="154"/>
      <c r="G7" s="155" t="s">
        <v>98</v>
      </c>
      <c r="H7" s="154"/>
      <c r="I7" s="155" t="s">
        <v>98</v>
      </c>
      <c r="J7" s="156"/>
      <c r="K7" s="6"/>
      <c r="L7" s="157"/>
      <c r="M7" s="158"/>
      <c r="N7" s="159"/>
      <c r="O7" s="160"/>
      <c r="P7" s="161"/>
      <c r="Q7" s="162"/>
      <c r="R7" s="60"/>
      <c r="S7" s="163"/>
      <c r="T7" s="60"/>
      <c r="U7" s="164"/>
    </row>
    <row r="8" spans="1:21" ht="15.6">
      <c r="A8" s="134" t="s">
        <v>99</v>
      </c>
      <c r="B8" s="135" t="s">
        <v>111</v>
      </c>
      <c r="C8" s="24" t="s">
        <v>99</v>
      </c>
      <c r="D8" s="135" t="s">
        <v>112</v>
      </c>
      <c r="E8" s="24" t="s">
        <v>99</v>
      </c>
      <c r="F8" s="135" t="s">
        <v>113</v>
      </c>
      <c r="G8" s="24" t="s">
        <v>99</v>
      </c>
      <c r="H8" s="165" t="s">
        <v>114</v>
      </c>
      <c r="I8" s="24" t="s">
        <v>99</v>
      </c>
      <c r="J8" s="166" t="s">
        <v>115</v>
      </c>
      <c r="K8" s="6"/>
      <c r="L8" s="137" t="s">
        <v>99</v>
      </c>
      <c r="M8" s="165" t="s">
        <v>116</v>
      </c>
      <c r="N8" s="139" t="s">
        <v>99</v>
      </c>
      <c r="O8" s="165" t="s">
        <v>117</v>
      </c>
      <c r="P8" s="24" t="s">
        <v>99</v>
      </c>
      <c r="Q8" s="140" t="s">
        <v>118</v>
      </c>
      <c r="R8" s="24" t="s">
        <v>99</v>
      </c>
      <c r="S8" s="140" t="s">
        <v>119</v>
      </c>
      <c r="T8" s="24" t="s">
        <v>99</v>
      </c>
      <c r="U8" s="141" t="s">
        <v>120</v>
      </c>
    </row>
    <row r="9" spans="1:21" ht="15.6">
      <c r="A9" s="142" t="str">
        <f>IF(ISNA(VLOOKUP("*"&amp;B8&amp;"*",[3]Sheet1!$A$1:$F$93,5,FALSE)),"",IF(VLOOKUP("*"&amp;B8&amp;"*",[3]Sheet1!$A$1:$F$93,5,FALSE)="",MID(VLOOKUP("*"&amp;B8&amp;"*",[3]Sheet1!$A$1:$F$93,4,FALSE),5,8)&amp;VLOOKUP("*"&amp;B8&amp;"*",[3]Sheet1!$A$1:$F$93,6,FALSE),VLOOKUP("*"&amp;B8&amp;"*",[3]Sheet1!$A$1:$F$93,5,FALSE)&amp;VLOOKUP("*"&amp;B8&amp;"*",[3]Sheet1!$A$1:$F$93,6,FALSE)))</f>
        <v/>
      </c>
      <c r="B9" s="143"/>
      <c r="C9" s="142" t="str">
        <f>IF(ISNA(VLOOKUP("*"&amp;D8&amp;"*",[3]Sheet1!$A$1:$F$93,5,FALSE)),"",IF(VLOOKUP("*"&amp;D8&amp;"*",[3]Sheet1!$A$1:$F$93,5,FALSE)="",MID(VLOOKUP("*"&amp;D8&amp;"*",[3]Sheet1!$A$1:$F$93,4,FALSE),5,8)&amp;VLOOKUP("*"&amp;D8&amp;"*",[3]Sheet1!$A$1:$F$93,6,FALSE),VLOOKUP("*"&amp;D8&amp;"*",[3]Sheet1!$A$1:$F$93,5,FALSE)&amp;VLOOKUP("*"&amp;D8&amp;"*",[3]Sheet1!$A$1:$F$93,6,FALSE)))</f>
        <v/>
      </c>
      <c r="D9" s="143"/>
      <c r="E9" s="142" t="str">
        <f>IF(ISNA(VLOOKUP("*"&amp;F8&amp;"*",[3]Sheet1!$A$1:$F$93,5,FALSE)),"",IF(VLOOKUP("*"&amp;F8&amp;"*",[3]Sheet1!$A$1:$F$93,5,FALSE)="",MID(VLOOKUP("*"&amp;F8&amp;"*",[3]Sheet1!$A$1:$F$93,4,FALSE),5,8)&amp;VLOOKUP("*"&amp;F8&amp;"*",[3]Sheet1!$A$1:$F$93,6,FALSE),VLOOKUP("*"&amp;F8&amp;"*",[3]Sheet1!$A$1:$F$93,5,FALSE)&amp;VLOOKUP("*"&amp;F8&amp;"*",[3]Sheet1!$A$1:$F$93,6,FALSE)))</f>
        <v/>
      </c>
      <c r="F9" s="143"/>
      <c r="G9" s="142" t="str">
        <f>IF(ISNA(VLOOKUP("*"&amp;H8&amp;"*",[3]Sheet1!$A$1:$F$93,5,FALSE)),"",IF(VLOOKUP("*"&amp;H8&amp;"*",[3]Sheet1!$A$1:$F$93,5,FALSE)="",MID(VLOOKUP("*"&amp;H8&amp;"*",[3]Sheet1!$A$1:$F$93,4,FALSE),5,8)&amp;VLOOKUP("*"&amp;H8&amp;"*",[3]Sheet1!$A$1:$F$93,6,FALSE),VLOOKUP("*"&amp;H8&amp;"*",[3]Sheet1!$A$1:$F$93,5,FALSE)&amp;VLOOKUP("*"&amp;H8&amp;"*",[3]Sheet1!$A$1:$F$93,6,FALSE)))</f>
        <v/>
      </c>
      <c r="H9" s="143"/>
      <c r="I9" s="142" t="str">
        <f>IF(ISNA(VLOOKUP("*"&amp;J8&amp;"*",[3]Sheet1!$A$1:$F$93,5,FALSE)),"",IF(VLOOKUP("*"&amp;J8&amp;"*",[3]Sheet1!$A$1:$F$93,5,FALSE)="",MID(VLOOKUP("*"&amp;J8&amp;"*",[3]Sheet1!$A$1:$F$93,4,FALSE),5,8)&amp;VLOOKUP("*"&amp;J8&amp;"*",[3]Sheet1!$A$1:$F$93,6,FALSE),VLOOKUP("*"&amp;J8&amp;"*",[3]Sheet1!$A$1:$F$93,5,FALSE)&amp;VLOOKUP("*"&amp;J8&amp;"*",[3]Sheet1!$A$1:$F$93,6,FALSE)))</f>
        <v/>
      </c>
      <c r="J9" s="143"/>
      <c r="K9" s="6"/>
      <c r="L9" s="142" t="str">
        <f>IF(ISNA(VLOOKUP("*"&amp;M8&amp;"*",[3]Sheet1!$A$1:$F$93,5,FALSE)),"",IF(VLOOKUP("*"&amp;M8&amp;"*",[3]Sheet1!$A$1:$F$93,5,FALSE)="",MID(VLOOKUP("*"&amp;M8&amp;"*",[3]Sheet1!$A$1:$F$93,4,FALSE),5,8)&amp;VLOOKUP("*"&amp;M8&amp;"*",[3]Sheet1!$A$1:$F$93,6,FALSE),VLOOKUP("*"&amp;M8&amp;"*",[3]Sheet1!$A$1:$F$93,5,FALSE)&amp;VLOOKUP("*"&amp;M8&amp;"*",[3]Sheet1!$A$1:$F$93,6,FALSE)))</f>
        <v/>
      </c>
      <c r="M9" s="143"/>
      <c r="N9" s="142" t="str">
        <f>IF(ISNA(VLOOKUP("*"&amp;O8&amp;"*",[3]Sheet1!$A$1:$F$93,5,FALSE)),"",IF(VLOOKUP("*"&amp;O8&amp;"*",[3]Sheet1!$A$1:$F$93,5,FALSE)="",MID(VLOOKUP("*"&amp;O8&amp;"*",[3]Sheet1!$A$1:$F$93,4,FALSE),5,8)&amp;VLOOKUP("*"&amp;O8&amp;"*",[3]Sheet1!$A$1:$F$93,6,FALSE),VLOOKUP("*"&amp;O8&amp;"*",[3]Sheet1!$A$1:$F$93,5,FALSE)&amp;VLOOKUP("*"&amp;O8&amp;"*",[3]Sheet1!$A$1:$F$93,6,FALSE)))</f>
        <v/>
      </c>
      <c r="O9" s="143"/>
      <c r="P9" s="142" t="str">
        <f>IF(ISNA(VLOOKUP("*"&amp;Q8&amp;"*",[3]Sheet1!$A$1:$F$93,5,FALSE)),"",IF(VLOOKUP("*"&amp;Q8&amp;"*",[3]Sheet1!$A$1:$F$93,5,FALSE)="",MID(VLOOKUP("*"&amp;Q8&amp;"*",[3]Sheet1!$A$1:$F$93,4,FALSE),5,8)&amp;VLOOKUP("*"&amp;Q8&amp;"*",[3]Sheet1!$A$1:$F$93,6,FALSE),VLOOKUP("*"&amp;Q8&amp;"*",[3]Sheet1!$A$1:$F$93,5,FALSE)&amp;VLOOKUP("*"&amp;Q8&amp;"*",[3]Sheet1!$A$1:$F$93,6,FALSE)))</f>
        <v/>
      </c>
      <c r="Q9" s="143"/>
      <c r="R9" s="142" t="str">
        <f>IF(ISNA(VLOOKUP("*"&amp;S8&amp;"*",[3]Sheet1!$A$1:$F$93,5,FALSE)),"",IF(VLOOKUP("*"&amp;S8&amp;"*",[3]Sheet1!$A$1:$F$93,5,FALSE)="",MID(VLOOKUP("*"&amp;S8&amp;"*",[3]Sheet1!$A$1:$F$93,4,FALSE),5,8)&amp;VLOOKUP("*"&amp;S8&amp;"*",[3]Sheet1!$A$1:$F$93,6,FALSE),VLOOKUP("*"&amp;S8&amp;"*",[3]Sheet1!$A$1:$F$93,5,FALSE)&amp;VLOOKUP("*"&amp;S8&amp;"*",[3]Sheet1!$A$1:$F$93,6,FALSE)))</f>
        <v/>
      </c>
      <c r="S9" s="143"/>
      <c r="T9" s="142" t="str">
        <f>IF(ISNA(VLOOKUP("*"&amp;U8&amp;"*",[3]Sheet1!$A$1:$F$93,5,FALSE)),"",IF(VLOOKUP("*"&amp;U8&amp;"*",[3]Sheet1!$A$1:$F$93,5,FALSE)="",MID(VLOOKUP("*"&amp;U8&amp;"*",[3]Sheet1!$A$1:$F$93,4,FALSE),5,8)&amp;VLOOKUP("*"&amp;U8&amp;"*",[3]Sheet1!$A$1:$F$93,6,FALSE),VLOOKUP("*"&amp;U8&amp;"*",[3]Sheet1!$A$1:$F$93,5,FALSE)&amp;VLOOKUP("*"&amp;U8&amp;"*",[3]Sheet1!$A$1:$F$93,6,FALSE)))</f>
        <v/>
      </c>
      <c r="U9" s="143"/>
    </row>
    <row r="10" spans="1:21" ht="15.6">
      <c r="A10" s="144" t="s">
        <v>110</v>
      </c>
      <c r="B10" s="102"/>
      <c r="C10" s="145" t="s">
        <v>110</v>
      </c>
      <c r="D10" s="146"/>
      <c r="E10" s="102" t="s">
        <v>110</v>
      </c>
      <c r="F10" s="146"/>
      <c r="G10" s="102" t="s">
        <v>110</v>
      </c>
      <c r="H10" s="146"/>
      <c r="I10" s="102" t="s">
        <v>110</v>
      </c>
      <c r="J10" s="147"/>
      <c r="K10" s="6"/>
      <c r="L10" s="148" t="s">
        <v>110</v>
      </c>
      <c r="M10" s="149"/>
      <c r="N10" s="150" t="s">
        <v>110</v>
      </c>
      <c r="O10" s="149"/>
      <c r="P10" s="102" t="s">
        <v>110</v>
      </c>
      <c r="Q10" s="146"/>
      <c r="R10" s="102" t="s">
        <v>110</v>
      </c>
      <c r="S10" s="146"/>
      <c r="T10" s="102" t="s">
        <v>110</v>
      </c>
      <c r="U10" s="147"/>
    </row>
    <row r="11" spans="1:21" ht="18">
      <c r="A11" s="167" t="s">
        <v>98</v>
      </c>
      <c r="B11" s="168"/>
      <c r="C11" s="169" t="s">
        <v>98</v>
      </c>
      <c r="D11" s="170"/>
      <c r="E11" s="169" t="s">
        <v>98</v>
      </c>
      <c r="F11" s="170"/>
      <c r="G11" s="171" t="s">
        <v>98</v>
      </c>
      <c r="H11" s="170"/>
      <c r="I11" s="169" t="s">
        <v>98</v>
      </c>
      <c r="J11" s="172"/>
      <c r="K11" s="6"/>
      <c r="L11" s="173"/>
      <c r="M11" s="174"/>
      <c r="N11" s="175"/>
      <c r="O11" s="176"/>
      <c r="P11" s="60"/>
      <c r="Q11" s="163"/>
      <c r="R11" s="60"/>
      <c r="S11" s="163"/>
      <c r="T11" s="60"/>
      <c r="U11" s="164"/>
    </row>
    <row r="12" spans="1:21" ht="15.6">
      <c r="A12" s="134" t="s">
        <v>99</v>
      </c>
      <c r="B12" s="138" t="s">
        <v>121</v>
      </c>
      <c r="C12" s="24" t="s">
        <v>99</v>
      </c>
      <c r="D12" s="135" t="s">
        <v>122</v>
      </c>
      <c r="E12" s="24" t="s">
        <v>99</v>
      </c>
      <c r="F12" s="135" t="s">
        <v>123</v>
      </c>
      <c r="G12" s="24" t="s">
        <v>99</v>
      </c>
      <c r="H12" s="138" t="s">
        <v>124</v>
      </c>
      <c r="I12" s="24" t="s">
        <v>99</v>
      </c>
      <c r="J12" s="136" t="s">
        <v>125</v>
      </c>
      <c r="K12" s="24"/>
      <c r="L12" s="137" t="s">
        <v>99</v>
      </c>
      <c r="M12" s="165" t="s">
        <v>126</v>
      </c>
      <c r="N12" s="139" t="s">
        <v>99</v>
      </c>
      <c r="O12" s="138" t="s">
        <v>127</v>
      </c>
      <c r="P12" s="24" t="s">
        <v>99</v>
      </c>
      <c r="Q12" s="140" t="s">
        <v>128</v>
      </c>
      <c r="R12" s="24" t="s">
        <v>99</v>
      </c>
      <c r="S12" s="140" t="s">
        <v>129</v>
      </c>
      <c r="T12" s="24" t="s">
        <v>99</v>
      </c>
      <c r="U12" s="141" t="s">
        <v>130</v>
      </c>
    </row>
    <row r="13" spans="1:21" ht="15.6">
      <c r="A13" s="142" t="str">
        <f>IF(ISNA(VLOOKUP("*"&amp;B12&amp;"*",[3]Sheet1!$A$1:$F$93,5,FALSE)),"",IF(VLOOKUP("*"&amp;B12&amp;"*",[3]Sheet1!$A$1:$F$93,5,FALSE)="",MID(VLOOKUP("*"&amp;B12&amp;"*",[3]Sheet1!$A$1:$F$93,4,FALSE),5,8)&amp;VLOOKUP("*"&amp;B12&amp;"*",[3]Sheet1!$A$1:$F$93,6,FALSE),VLOOKUP("*"&amp;B12&amp;"*",[3]Sheet1!$A$1:$F$93,5,FALSE)&amp;VLOOKUP("*"&amp;B12&amp;"*",[3]Sheet1!$A$1:$F$93,6,FALSE)))</f>
        <v/>
      </c>
      <c r="B13" s="143"/>
      <c r="C13" s="142" t="str">
        <f>IF(ISNA(VLOOKUP("*"&amp;D12&amp;"*",[3]Sheet1!$A$1:$F$93,5,FALSE)),"",IF(VLOOKUP("*"&amp;D12&amp;"*",[3]Sheet1!$A$1:$F$93,5,FALSE)="",MID(VLOOKUP("*"&amp;D12&amp;"*",[3]Sheet1!$A$1:$F$93,4,FALSE),5,8)&amp;VLOOKUP("*"&amp;D12&amp;"*",[3]Sheet1!$A$1:$F$93,6,FALSE),VLOOKUP("*"&amp;D12&amp;"*",[3]Sheet1!$A$1:$F$93,5,FALSE)&amp;VLOOKUP("*"&amp;D12&amp;"*",[3]Sheet1!$A$1:$F$93,6,FALSE)))</f>
        <v/>
      </c>
      <c r="D13" s="143"/>
      <c r="E13" s="142" t="str">
        <f>IF(ISNA(VLOOKUP("*"&amp;F12&amp;"*",[3]Sheet1!$A$1:$F$93,5,FALSE)),"",IF(VLOOKUP("*"&amp;F12&amp;"*",[3]Sheet1!$A$1:$F$93,5,FALSE)="",MID(VLOOKUP("*"&amp;F12&amp;"*",[3]Sheet1!$A$1:$F$93,4,FALSE),5,8)&amp;VLOOKUP("*"&amp;F12&amp;"*",[3]Sheet1!$A$1:$F$93,6,FALSE),VLOOKUP("*"&amp;F12&amp;"*",[3]Sheet1!$A$1:$F$93,5,FALSE)&amp;VLOOKUP("*"&amp;F12&amp;"*",[3]Sheet1!$A$1:$F$93,6,FALSE)))</f>
        <v/>
      </c>
      <c r="F13" s="143"/>
      <c r="G13" s="142" t="str">
        <f>IF(ISNA(VLOOKUP("*"&amp;H12&amp;"*",[3]Sheet1!$A$1:$F$93,5,FALSE)),"",IF(VLOOKUP("*"&amp;H12&amp;"*",[3]Sheet1!$A$1:$F$93,5,FALSE)="",MID(VLOOKUP("*"&amp;H12&amp;"*",[3]Sheet1!$A$1:$F$93,4,FALSE),5,8)&amp;VLOOKUP("*"&amp;H12&amp;"*",[3]Sheet1!$A$1:$F$93,6,FALSE),VLOOKUP("*"&amp;H12&amp;"*",[3]Sheet1!$A$1:$F$93,5,FALSE)&amp;VLOOKUP("*"&amp;H12&amp;"*",[3]Sheet1!$A$1:$F$93,6,FALSE)))</f>
        <v/>
      </c>
      <c r="H13" s="143"/>
      <c r="I13" s="142" t="str">
        <f>IF(ISNA(VLOOKUP("*"&amp;J12&amp;"*",[3]Sheet1!$A$1:$F$93,5,FALSE)),"",IF(VLOOKUP("*"&amp;J12&amp;"*",[3]Sheet1!$A$1:$F$93,5,FALSE)="",MID(VLOOKUP("*"&amp;J12&amp;"*",[3]Sheet1!$A$1:$F$93,4,FALSE),5,8)&amp;VLOOKUP("*"&amp;J12&amp;"*",[3]Sheet1!$A$1:$F$93,6,FALSE),VLOOKUP("*"&amp;J12&amp;"*",[3]Sheet1!$A$1:$F$93,5,FALSE)&amp;VLOOKUP("*"&amp;J12&amp;"*",[3]Sheet1!$A$1:$F$93,6,FALSE)))</f>
        <v/>
      </c>
      <c r="J13" s="143"/>
      <c r="K13" s="63"/>
      <c r="L13" s="142" t="str">
        <f>IF(ISNA(VLOOKUP("*"&amp;M12&amp;"*",[3]Sheet1!$A$1:$F$93,5,FALSE)),"",IF(VLOOKUP("*"&amp;M12&amp;"*",[3]Sheet1!$A$1:$F$93,5,FALSE)="",MID(VLOOKUP("*"&amp;M12&amp;"*",[3]Sheet1!$A$1:$F$93,4,FALSE),5,8)&amp;VLOOKUP("*"&amp;M12&amp;"*",[3]Sheet1!$A$1:$F$93,6,FALSE),VLOOKUP("*"&amp;M12&amp;"*",[3]Sheet1!$A$1:$F$93,5,FALSE)&amp;VLOOKUP("*"&amp;M12&amp;"*",[3]Sheet1!$A$1:$F$93,6,FALSE)))</f>
        <v/>
      </c>
      <c r="M13" s="143"/>
      <c r="N13" s="142" t="str">
        <f>IF(ISNA(VLOOKUP("*"&amp;O12&amp;"*",[3]Sheet1!$A$1:$F$93,5,FALSE)),"",IF(VLOOKUP("*"&amp;O12&amp;"*",[3]Sheet1!$A$1:$F$93,5,FALSE)="",MID(VLOOKUP("*"&amp;O12&amp;"*",[3]Sheet1!$A$1:$F$93,4,FALSE),5,8)&amp;VLOOKUP("*"&amp;O12&amp;"*",[3]Sheet1!$A$1:$F$93,6,FALSE),VLOOKUP("*"&amp;O12&amp;"*",[3]Sheet1!$A$1:$F$93,5,FALSE)&amp;VLOOKUP("*"&amp;O12&amp;"*",[3]Sheet1!$A$1:$F$93,6,FALSE)))</f>
        <v/>
      </c>
      <c r="O13" s="143"/>
      <c r="P13" s="142" t="str">
        <f>IF(ISNA(VLOOKUP("*"&amp;Q12&amp;"*",[3]Sheet1!$A$1:$F$93,5,FALSE)),"",IF(VLOOKUP("*"&amp;Q12&amp;"*",[3]Sheet1!$A$1:$F$93,5,FALSE)="",MID(VLOOKUP("*"&amp;Q12&amp;"*",[3]Sheet1!$A$1:$F$93,4,FALSE),5,8)&amp;VLOOKUP("*"&amp;Q12&amp;"*",[3]Sheet1!$A$1:$F$93,6,FALSE),VLOOKUP("*"&amp;Q12&amp;"*",[3]Sheet1!$A$1:$F$93,5,FALSE)&amp;VLOOKUP("*"&amp;Q12&amp;"*",[3]Sheet1!$A$1:$F$93,6,FALSE)))</f>
        <v/>
      </c>
      <c r="Q13" s="143"/>
      <c r="R13" s="142" t="str">
        <f>IF(ISNA(VLOOKUP("*"&amp;S12&amp;"*",[3]Sheet1!$A$1:$F$93,5,FALSE)),"",IF(VLOOKUP("*"&amp;S12&amp;"*",[3]Sheet1!$A$1:$F$93,5,FALSE)="",MID(VLOOKUP("*"&amp;S12&amp;"*",[3]Sheet1!$A$1:$F$93,4,FALSE),5,8)&amp;VLOOKUP("*"&amp;S12&amp;"*",[3]Sheet1!$A$1:$F$93,6,FALSE),VLOOKUP("*"&amp;S12&amp;"*",[3]Sheet1!$A$1:$F$93,5,FALSE)&amp;VLOOKUP("*"&amp;S12&amp;"*",[3]Sheet1!$A$1:$F$93,6,FALSE)))</f>
        <v/>
      </c>
      <c r="S13" s="143"/>
      <c r="T13" s="142" t="str">
        <f>IF(ISNA(VLOOKUP("*"&amp;U12&amp;"*",[3]Sheet1!$A$1:$F$93,5,FALSE)),"",IF(VLOOKUP("*"&amp;U12&amp;"*",[3]Sheet1!$A$1:$F$93,5,FALSE)="",MID(VLOOKUP("*"&amp;U12&amp;"*",[3]Sheet1!$A$1:$F$93,4,FALSE),5,8)&amp;VLOOKUP("*"&amp;U12&amp;"*",[3]Sheet1!$A$1:$F$93,6,FALSE),VLOOKUP("*"&amp;U12&amp;"*",[3]Sheet1!$A$1:$F$93,5,FALSE)&amp;VLOOKUP("*"&amp;U12&amp;"*",[3]Sheet1!$A$1:$F$93,6,FALSE)))</f>
        <v/>
      </c>
      <c r="U13" s="143"/>
    </row>
    <row r="14" spans="1:21" ht="15.6">
      <c r="A14" s="144" t="s">
        <v>110</v>
      </c>
      <c r="B14" s="102"/>
      <c r="C14" s="145" t="s">
        <v>110</v>
      </c>
      <c r="D14" s="146"/>
      <c r="E14" s="102" t="s">
        <v>110</v>
      </c>
      <c r="F14" s="146"/>
      <c r="G14" s="102" t="s">
        <v>110</v>
      </c>
      <c r="H14" s="146"/>
      <c r="I14" s="102" t="s">
        <v>110</v>
      </c>
      <c r="J14" s="147"/>
      <c r="K14" s="6"/>
      <c r="L14" s="148" t="s">
        <v>110</v>
      </c>
      <c r="M14" s="149"/>
      <c r="N14" s="150" t="s">
        <v>110</v>
      </c>
      <c r="O14" s="149"/>
      <c r="P14" s="102" t="s">
        <v>110</v>
      </c>
      <c r="Q14" s="146"/>
      <c r="R14" s="102" t="s">
        <v>110</v>
      </c>
      <c r="S14" s="146"/>
      <c r="T14" s="102" t="s">
        <v>110</v>
      </c>
      <c r="U14" s="147"/>
    </row>
    <row r="15" spans="1:21" ht="15.6">
      <c r="A15" s="177" t="s">
        <v>98</v>
      </c>
      <c r="B15" s="178"/>
      <c r="C15" s="179" t="s">
        <v>98</v>
      </c>
      <c r="D15" s="180"/>
      <c r="E15" s="155" t="s">
        <v>98</v>
      </c>
      <c r="F15" s="154"/>
      <c r="G15" s="155" t="s">
        <v>98</v>
      </c>
      <c r="H15" s="154"/>
      <c r="I15" s="155" t="s">
        <v>98</v>
      </c>
      <c r="J15" s="156"/>
      <c r="K15" s="6"/>
      <c r="L15" s="173"/>
      <c r="M15" s="174"/>
      <c r="N15" s="159"/>
      <c r="O15" s="176"/>
      <c r="P15" s="60"/>
      <c r="Q15" s="163"/>
      <c r="R15" s="60"/>
      <c r="S15" s="163"/>
      <c r="T15" s="60"/>
      <c r="U15" s="164"/>
    </row>
    <row r="16" spans="1:21" ht="15.6">
      <c r="A16" s="134" t="s">
        <v>99</v>
      </c>
      <c r="B16" s="138" t="s">
        <v>131</v>
      </c>
      <c r="C16" s="24" t="s">
        <v>99</v>
      </c>
      <c r="D16" s="138" t="s">
        <v>132</v>
      </c>
      <c r="E16" s="24" t="s">
        <v>99</v>
      </c>
      <c r="F16" s="165" t="s">
        <v>133</v>
      </c>
      <c r="G16" s="24" t="s">
        <v>99</v>
      </c>
      <c r="H16" s="138" t="s">
        <v>134</v>
      </c>
      <c r="I16" s="24" t="s">
        <v>99</v>
      </c>
      <c r="J16" s="166" t="s">
        <v>135</v>
      </c>
      <c r="K16" s="24"/>
      <c r="L16" s="137" t="s">
        <v>99</v>
      </c>
      <c r="M16" s="138" t="s">
        <v>136</v>
      </c>
      <c r="N16" s="139" t="s">
        <v>99</v>
      </c>
      <c r="O16" s="138" t="s">
        <v>137</v>
      </c>
      <c r="P16" s="24" t="s">
        <v>99</v>
      </c>
      <c r="Q16" s="140" t="s">
        <v>138</v>
      </c>
      <c r="R16" s="24" t="s">
        <v>99</v>
      </c>
      <c r="S16" s="140" t="s">
        <v>139</v>
      </c>
      <c r="T16" s="24" t="s">
        <v>99</v>
      </c>
      <c r="U16" s="141" t="s">
        <v>140</v>
      </c>
    </row>
    <row r="17" spans="1:22" ht="15.6">
      <c r="A17" s="142" t="str">
        <f>IF(ISNA(VLOOKUP("*"&amp;B16&amp;"*",[3]Sheet1!$A$1:$F$93,5,FALSE)),"",IF(VLOOKUP("*"&amp;B16&amp;"*",[3]Sheet1!$A$1:$F$93,5,FALSE)="",MID(VLOOKUP("*"&amp;B16&amp;"*",[3]Sheet1!$A$1:$F$93,4,FALSE),5,8)&amp;VLOOKUP("*"&amp;B16&amp;"*",[3]Sheet1!$A$1:$F$93,6,FALSE),VLOOKUP("*"&amp;B16&amp;"*",[3]Sheet1!$A$1:$F$93,5,FALSE)&amp;VLOOKUP("*"&amp;B16&amp;"*",[3]Sheet1!$A$1:$F$93,6,FALSE)))</f>
        <v/>
      </c>
      <c r="B17" s="143"/>
      <c r="C17" s="142" t="str">
        <f>IF(ISNA(VLOOKUP("*"&amp;D16&amp;"*",[3]Sheet1!$A$1:$F$93,5,FALSE)),"",IF(VLOOKUP("*"&amp;D16&amp;"*",[3]Sheet1!$A$1:$F$93,5,FALSE)="",MID(VLOOKUP("*"&amp;D16&amp;"*",[3]Sheet1!$A$1:$F$93,4,FALSE),5,8)&amp;VLOOKUP("*"&amp;D16&amp;"*",[3]Sheet1!$A$1:$F$93,6,FALSE),VLOOKUP("*"&amp;D16&amp;"*",[3]Sheet1!$A$1:$F$93,5,FALSE)&amp;VLOOKUP("*"&amp;D16&amp;"*",[3]Sheet1!$A$1:$F$93,6,FALSE)))</f>
        <v/>
      </c>
      <c r="D17" s="143"/>
      <c r="E17" s="142" t="str">
        <f>IF(ISNA(VLOOKUP("*"&amp;F16&amp;"*",[3]Sheet1!$A$1:$F$93,5,FALSE)),"",IF(VLOOKUP("*"&amp;F16&amp;"*",[3]Sheet1!$A$1:$F$93,5,FALSE)="",MID(VLOOKUP("*"&amp;F16&amp;"*",[3]Sheet1!$A$1:$F$93,4,FALSE),5,8)&amp;VLOOKUP("*"&amp;F16&amp;"*",[3]Sheet1!$A$1:$F$93,6,FALSE),VLOOKUP("*"&amp;F16&amp;"*",[3]Sheet1!$A$1:$F$93,5,FALSE)&amp;VLOOKUP("*"&amp;F16&amp;"*",[3]Sheet1!$A$1:$F$93,6,FALSE)))</f>
        <v/>
      </c>
      <c r="F17" s="143"/>
      <c r="G17" s="142" t="str">
        <f>IF(ISNA(VLOOKUP("*"&amp;H16&amp;"*",[3]Sheet1!$A$1:$F$93,5,FALSE)),"",IF(VLOOKUP("*"&amp;H16&amp;"*",[3]Sheet1!$A$1:$F$93,5,FALSE)="",MID(VLOOKUP("*"&amp;H16&amp;"*",[3]Sheet1!$A$1:$F$93,4,FALSE),5,8)&amp;VLOOKUP("*"&amp;H16&amp;"*",[3]Sheet1!$A$1:$F$93,6,FALSE),VLOOKUP("*"&amp;H16&amp;"*",[3]Sheet1!$A$1:$F$93,5,FALSE)&amp;VLOOKUP("*"&amp;H16&amp;"*",[3]Sheet1!$A$1:$F$93,6,FALSE)))</f>
        <v/>
      </c>
      <c r="H17" s="143"/>
      <c r="I17" s="142" t="str">
        <f>IF(ISNA(VLOOKUP("*"&amp;J16&amp;"*",[3]Sheet1!$A$1:$F$93,5,FALSE)),"",IF(VLOOKUP("*"&amp;J16&amp;"*",[3]Sheet1!$A$1:$F$93,5,FALSE)="",MID(VLOOKUP("*"&amp;J16&amp;"*",[3]Sheet1!$A$1:$F$93,4,FALSE),5,8)&amp;VLOOKUP("*"&amp;J16&amp;"*",[3]Sheet1!$A$1:$F$93,6,FALSE),VLOOKUP("*"&amp;J16&amp;"*",[3]Sheet1!$A$1:$F$93,5,FALSE)&amp;VLOOKUP("*"&amp;J16&amp;"*",[3]Sheet1!$A$1:$F$93,6,FALSE)))</f>
        <v/>
      </c>
      <c r="J17" s="143"/>
      <c r="K17" s="6"/>
      <c r="L17" s="142" t="str">
        <f>IF(ISNA(VLOOKUP("*"&amp;M16&amp;"*",[3]Sheet1!$A$1:$F$93,5,FALSE)),"",IF(VLOOKUP("*"&amp;M16&amp;"*",[3]Sheet1!$A$1:$F$93,5,FALSE)="",MID(VLOOKUP("*"&amp;M16&amp;"*",[3]Sheet1!$A$1:$F$93,4,FALSE),5,8)&amp;VLOOKUP("*"&amp;M16&amp;"*",[3]Sheet1!$A$1:$F$93,6,FALSE),VLOOKUP("*"&amp;M16&amp;"*",[3]Sheet1!$A$1:$F$93,5,FALSE)&amp;VLOOKUP("*"&amp;M16&amp;"*",[3]Sheet1!$A$1:$F$93,6,FALSE)))</f>
        <v/>
      </c>
      <c r="M17" s="143"/>
      <c r="N17" s="142" t="str">
        <f>IF(ISNA(VLOOKUP("*"&amp;O16&amp;"*",[3]Sheet1!$A$1:$F$93,5,FALSE)),"",IF(VLOOKUP("*"&amp;O16&amp;"*",[3]Sheet1!$A$1:$F$93,5,FALSE)="",MID(VLOOKUP("*"&amp;O16&amp;"*",[3]Sheet1!$A$1:$F$93,4,FALSE),5,8)&amp;VLOOKUP("*"&amp;O16&amp;"*",[3]Sheet1!$A$1:$F$93,6,FALSE),VLOOKUP("*"&amp;O16&amp;"*",[3]Sheet1!$A$1:$F$93,5,FALSE)&amp;VLOOKUP("*"&amp;O16&amp;"*",[3]Sheet1!$A$1:$F$93,6,FALSE)))</f>
        <v/>
      </c>
      <c r="O17" s="143"/>
      <c r="P17" s="142" t="str">
        <f>IF(ISNA(VLOOKUP("*"&amp;Q16&amp;"*",[3]Sheet1!$A$1:$F$93,5,FALSE)),"",IF(VLOOKUP("*"&amp;Q16&amp;"*",[3]Sheet1!$A$1:$F$93,5,FALSE)="",MID(VLOOKUP("*"&amp;Q16&amp;"*",[3]Sheet1!$A$1:$F$93,4,FALSE),5,8)&amp;VLOOKUP("*"&amp;Q16&amp;"*",[3]Sheet1!$A$1:$F$93,6,FALSE),VLOOKUP("*"&amp;Q16&amp;"*",[3]Sheet1!$A$1:$F$93,5,FALSE)&amp;VLOOKUP("*"&amp;Q16&amp;"*",[3]Sheet1!$A$1:$F$93,6,FALSE)))</f>
        <v/>
      </c>
      <c r="Q17" s="143"/>
      <c r="R17" s="142" t="str">
        <f>IF(ISNA(VLOOKUP("*"&amp;S16&amp;"*",[3]Sheet1!$A$1:$F$93,5,FALSE)),"",IF(VLOOKUP("*"&amp;S16&amp;"*",[3]Sheet1!$A$1:$F$93,5,FALSE)="",MID(VLOOKUP("*"&amp;S16&amp;"*",[3]Sheet1!$A$1:$F$93,4,FALSE),5,8)&amp;VLOOKUP("*"&amp;S16&amp;"*",[3]Sheet1!$A$1:$F$93,6,FALSE),VLOOKUP("*"&amp;S16&amp;"*",[3]Sheet1!$A$1:$F$93,5,FALSE)&amp;VLOOKUP("*"&amp;S16&amp;"*",[3]Sheet1!$A$1:$F$93,6,FALSE)))</f>
        <v/>
      </c>
      <c r="S17" s="143"/>
      <c r="T17" s="142" t="str">
        <f>IF(ISNA(VLOOKUP("*"&amp;U16&amp;"*",[3]Sheet1!$A$1:$F$93,5,FALSE)),"",IF(VLOOKUP("*"&amp;U16&amp;"*",[3]Sheet1!$A$1:$F$93,5,FALSE)="",MID(VLOOKUP("*"&amp;U16&amp;"*",[3]Sheet1!$A$1:$F$93,4,FALSE),5,8)&amp;VLOOKUP("*"&amp;U16&amp;"*",[3]Sheet1!$A$1:$F$93,6,FALSE),VLOOKUP("*"&amp;U16&amp;"*",[3]Sheet1!$A$1:$F$93,5,FALSE)&amp;VLOOKUP("*"&amp;U16&amp;"*",[3]Sheet1!$A$1:$F$93,6,FALSE)))</f>
        <v/>
      </c>
      <c r="U17" s="143"/>
    </row>
    <row r="18" spans="1:22" ht="16.2" thickBot="1">
      <c r="A18" s="181" t="s">
        <v>110</v>
      </c>
      <c r="B18" s="182"/>
      <c r="C18" s="183" t="s">
        <v>110</v>
      </c>
      <c r="D18" s="184"/>
      <c r="E18" s="182" t="s">
        <v>110</v>
      </c>
      <c r="F18" s="184"/>
      <c r="G18" s="182" t="s">
        <v>110</v>
      </c>
      <c r="H18" s="184"/>
      <c r="I18" s="182" t="s">
        <v>110</v>
      </c>
      <c r="J18" s="185"/>
      <c r="K18" s="6"/>
      <c r="L18" s="181" t="s">
        <v>110</v>
      </c>
      <c r="M18" s="184"/>
      <c r="N18" s="182" t="s">
        <v>110</v>
      </c>
      <c r="O18" s="184"/>
      <c r="P18" s="182" t="s">
        <v>110</v>
      </c>
      <c r="Q18" s="184"/>
      <c r="R18" s="183" t="s">
        <v>110</v>
      </c>
      <c r="S18" s="184"/>
      <c r="T18" s="182" t="s">
        <v>110</v>
      </c>
      <c r="U18" s="185"/>
    </row>
    <row r="19" spans="1:22" ht="16.8" thickTop="1" thickBot="1">
      <c r="A19" s="186"/>
      <c r="B19" s="6"/>
      <c r="C19" s="187"/>
      <c r="D19" s="187"/>
      <c r="E19" s="83"/>
      <c r="F19" s="83"/>
      <c r="G19" s="83"/>
      <c r="H19" s="83"/>
      <c r="I19" s="83"/>
      <c r="J19" s="83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2" ht="21.6" thickTop="1">
      <c r="A20" s="188"/>
      <c r="B20" s="189"/>
      <c r="C20" s="131"/>
      <c r="D20" s="132"/>
      <c r="E20" s="131"/>
      <c r="F20" s="190"/>
      <c r="G20" s="131"/>
      <c r="H20" s="190"/>
      <c r="I20" s="191" t="s">
        <v>141</v>
      </c>
      <c r="J20" s="192"/>
      <c r="K20" s="193"/>
      <c r="L20" s="194" t="s">
        <v>142</v>
      </c>
      <c r="M20" s="130"/>
      <c r="N20" s="195"/>
      <c r="O20" s="196"/>
      <c r="P20" s="195"/>
      <c r="Q20" s="196"/>
      <c r="R20" s="195"/>
      <c r="S20" s="196"/>
      <c r="T20" s="197"/>
      <c r="U20" s="198"/>
    </row>
    <row r="21" spans="1:22" ht="15.6">
      <c r="A21" s="134" t="s">
        <v>143</v>
      </c>
      <c r="B21" s="135" t="s">
        <v>144</v>
      </c>
      <c r="C21" s="24" t="s">
        <v>143</v>
      </c>
      <c r="D21" s="135" t="s">
        <v>145</v>
      </c>
      <c r="E21" s="24" t="s">
        <v>143</v>
      </c>
      <c r="F21" s="135" t="s">
        <v>146</v>
      </c>
      <c r="G21" s="24" t="s">
        <v>143</v>
      </c>
      <c r="H21" s="135" t="s">
        <v>147</v>
      </c>
      <c r="I21" s="24" t="s">
        <v>143</v>
      </c>
      <c r="J21" s="166" t="s">
        <v>148</v>
      </c>
      <c r="K21" s="199"/>
      <c r="L21" s="139" t="s">
        <v>149</v>
      </c>
      <c r="M21" s="200" t="s">
        <v>150</v>
      </c>
      <c r="N21" s="24" t="s">
        <v>149</v>
      </c>
      <c r="O21" s="135" t="s">
        <v>151</v>
      </c>
      <c r="P21" s="24" t="s">
        <v>149</v>
      </c>
      <c r="Q21" s="25" t="s">
        <v>152</v>
      </c>
      <c r="R21" s="24" t="s">
        <v>149</v>
      </c>
      <c r="S21" s="201" t="s">
        <v>153</v>
      </c>
      <c r="T21" s="24" t="s">
        <v>149</v>
      </c>
      <c r="U21" s="202" t="s">
        <v>154</v>
      </c>
    </row>
    <row r="22" spans="1:22" ht="15.6">
      <c r="A22" s="142" t="str">
        <f>IF(ISNA(VLOOKUP("*"&amp;B21&amp;"*",[3]Sheet1!$A$1:$F$93,5,FALSE)),"",IF(VLOOKUP("*"&amp;B21&amp;"*",[3]Sheet1!$A$1:$F$93,5,FALSE)="",MID(VLOOKUP("*"&amp;B21&amp;"*",[3]Sheet1!$A$1:$F$93,4,FALSE),5,8)&amp;VLOOKUP("*"&amp;B21&amp;"*",[3]Sheet1!$A$1:$F$93,6,FALSE),VLOOKUP("*"&amp;B21&amp;"*",[3]Sheet1!$A$1:$F$93,5,FALSE)&amp;VLOOKUP("*"&amp;B21&amp;"*",[3]Sheet1!$A$1:$F$93,6,FALSE)))</f>
        <v/>
      </c>
      <c r="B22" s="143"/>
      <c r="C22" s="142" t="str">
        <f>IF(ISNA(VLOOKUP("*"&amp;D21&amp;"*",[3]Sheet1!$A$1:$F$93,5,FALSE)),"",IF(VLOOKUP("*"&amp;D21&amp;"*",[3]Sheet1!$A$1:$F$93,5,FALSE)="",MID(VLOOKUP("*"&amp;D21&amp;"*",[3]Sheet1!$A$1:$F$93,4,FALSE),5,8)&amp;VLOOKUP("*"&amp;D21&amp;"*",[3]Sheet1!$A$1:$F$93,6,FALSE),VLOOKUP("*"&amp;D21&amp;"*",[3]Sheet1!$A$1:$F$93,5,FALSE)&amp;VLOOKUP("*"&amp;D21&amp;"*",[3]Sheet1!$A$1:$F$93,6,FALSE)))</f>
        <v/>
      </c>
      <c r="D22" s="143"/>
      <c r="E22" s="142" t="str">
        <f>IF(ISNA(VLOOKUP("*"&amp;F21&amp;"*",[3]Sheet1!$A$1:$F$93,5,FALSE)),"",IF(VLOOKUP("*"&amp;F21&amp;"*",[3]Sheet1!$A$1:$F$93,5,FALSE)="",MID(VLOOKUP("*"&amp;F21&amp;"*",[3]Sheet1!$A$1:$F$93,4,FALSE),5,8)&amp;VLOOKUP("*"&amp;F21&amp;"*",[3]Sheet1!$A$1:$F$93,6,FALSE),VLOOKUP("*"&amp;F21&amp;"*",[3]Sheet1!$A$1:$F$93,5,FALSE)&amp;VLOOKUP("*"&amp;F21&amp;"*",[3]Sheet1!$A$1:$F$93,6,FALSE)))</f>
        <v/>
      </c>
      <c r="F22" s="143"/>
      <c r="G22" s="142" t="str">
        <f>IF(ISNA(VLOOKUP("*"&amp;H21&amp;"*",[3]Sheet1!$A$1:$F$93,5,FALSE)),"",IF(VLOOKUP("*"&amp;H21&amp;"*",[3]Sheet1!$A$1:$F$93,5,FALSE)="",MID(VLOOKUP("*"&amp;H21&amp;"*",[3]Sheet1!$A$1:$F$93,4,FALSE),5,8)&amp;VLOOKUP("*"&amp;H21&amp;"*",[3]Sheet1!$A$1:$F$93,6,FALSE),VLOOKUP("*"&amp;H21&amp;"*",[3]Sheet1!$A$1:$F$93,5,FALSE)&amp;VLOOKUP("*"&amp;H21&amp;"*",[3]Sheet1!$A$1:$F$93,6,FALSE)))</f>
        <v/>
      </c>
      <c r="H22" s="143"/>
      <c r="I22" s="142" t="str">
        <f>IF(ISNA(VLOOKUP("*"&amp;J21&amp;"*",[3]Sheet1!$A$1:$F$93,5,FALSE)),"",IF(VLOOKUP("*"&amp;J21&amp;"*",[3]Sheet1!$A$1:$F$93,5,FALSE)="",MID(VLOOKUP("*"&amp;J21&amp;"*",[3]Sheet1!$A$1:$F$93,4,FALSE),5,8)&amp;VLOOKUP("*"&amp;J21&amp;"*",[3]Sheet1!$A$1:$F$93,6,FALSE),VLOOKUP("*"&amp;J21&amp;"*",[3]Sheet1!$A$1:$F$93,5,FALSE)&amp;VLOOKUP("*"&amp;J21&amp;"*",[3]Sheet1!$A$1:$F$93,6,FALSE)))</f>
        <v/>
      </c>
      <c r="J22" s="143"/>
      <c r="K22" s="203"/>
      <c r="L22" s="142" t="str">
        <f>IF(ISNA(VLOOKUP("*"&amp;M21&amp;"*",[3]Sheet1!$A$1:$F$93,5,FALSE)),"",IF(VLOOKUP("*"&amp;M21&amp;"*",[3]Sheet1!$A$1:$F$93,5,FALSE)="",MID(VLOOKUP("*"&amp;M21&amp;"*",[3]Sheet1!$A$1:$F$93,4,FALSE),5,8)&amp;VLOOKUP("*"&amp;M21&amp;"*",[3]Sheet1!$A$1:$F$93,6,FALSE),VLOOKUP("*"&amp;M21&amp;"*",[3]Sheet1!$A$1:$F$93,5,FALSE)&amp;VLOOKUP("*"&amp;M21&amp;"*",[3]Sheet1!$A$1:$F$93,6,FALSE)))</f>
        <v/>
      </c>
      <c r="M22" s="143"/>
      <c r="N22" s="142" t="str">
        <f>IF(ISNA(VLOOKUP("*"&amp;O21&amp;"*",[3]Sheet1!$A$1:$F$93,5,FALSE)),"",IF(VLOOKUP("*"&amp;O21&amp;"*",[3]Sheet1!$A$1:$F$93,5,FALSE)="",MID(VLOOKUP("*"&amp;O21&amp;"*",[3]Sheet1!$A$1:$F$93,4,FALSE),5,8)&amp;VLOOKUP("*"&amp;O21&amp;"*",[3]Sheet1!$A$1:$F$93,6,FALSE),VLOOKUP("*"&amp;O21&amp;"*",[3]Sheet1!$A$1:$F$93,5,FALSE)&amp;VLOOKUP("*"&amp;O21&amp;"*",[3]Sheet1!$A$1:$F$93,6,FALSE)))</f>
        <v/>
      </c>
      <c r="O22" s="143"/>
      <c r="P22" s="142" t="str">
        <f>IF(ISNA(VLOOKUP("*"&amp;Q21&amp;"*",[3]Sheet1!$A$1:$F$93,5,FALSE)),"",IF(VLOOKUP("*"&amp;Q21&amp;"*",[3]Sheet1!$A$1:$F$93,5,FALSE)="",MID(VLOOKUP("*"&amp;Q21&amp;"*",[3]Sheet1!$A$1:$F$93,4,FALSE),5,8)&amp;VLOOKUP("*"&amp;Q21&amp;"*",[3]Sheet1!$A$1:$F$93,6,FALSE),VLOOKUP("*"&amp;Q21&amp;"*",[3]Sheet1!$A$1:$F$93,5,FALSE)&amp;VLOOKUP("*"&amp;Q21&amp;"*",[3]Sheet1!$A$1:$F$93,6,FALSE)))</f>
        <v/>
      </c>
      <c r="Q22" s="143"/>
      <c r="R22" s="142" t="str">
        <f>IF(ISNA(VLOOKUP("*"&amp;S21&amp;"*",[3]Sheet1!$A$1:$F$93,5,FALSE)),"",IF(VLOOKUP("*"&amp;S21&amp;"*",[3]Sheet1!$A$1:$F$93,5,FALSE)="",MID(VLOOKUP("*"&amp;S21&amp;"*",[3]Sheet1!$A$1:$F$93,4,FALSE),5,8)&amp;VLOOKUP("*"&amp;S21&amp;"*",[3]Sheet1!$A$1:$F$93,6,FALSE),VLOOKUP("*"&amp;S21&amp;"*",[3]Sheet1!$A$1:$F$93,5,FALSE)&amp;VLOOKUP("*"&amp;S21&amp;"*",[3]Sheet1!$A$1:$F$93,6,FALSE)))</f>
        <v/>
      </c>
      <c r="S22" s="143"/>
      <c r="T22" s="142" t="str">
        <f>IF(ISNA(VLOOKUP("*"&amp;U21&amp;"*",[3]Sheet1!$A$1:$F$93,5,FALSE)),"",IF(VLOOKUP("*"&amp;U21&amp;"*",[3]Sheet1!$A$1:$F$93,5,FALSE)="",MID(VLOOKUP("*"&amp;U21&amp;"*",[3]Sheet1!$A$1:$F$93,4,FALSE),5,8)&amp;VLOOKUP("*"&amp;U21&amp;"*",[3]Sheet1!$A$1:$F$93,6,FALSE),VLOOKUP("*"&amp;U21&amp;"*",[3]Sheet1!$A$1:$F$93,5,FALSE)&amp;VLOOKUP("*"&amp;U21&amp;"*",[3]Sheet1!$A$1:$F$93,6,FALSE)))</f>
        <v/>
      </c>
      <c r="U22" s="143"/>
    </row>
    <row r="23" spans="1:22" ht="15.6">
      <c r="A23" s="204" t="s">
        <v>155</v>
      </c>
      <c r="B23" s="146"/>
      <c r="C23" s="102" t="s">
        <v>155</v>
      </c>
      <c r="D23" s="146"/>
      <c r="E23" s="102" t="s">
        <v>155</v>
      </c>
      <c r="F23" s="146"/>
      <c r="G23" s="102" t="s">
        <v>155</v>
      </c>
      <c r="H23" s="146"/>
      <c r="I23" s="102" t="s">
        <v>155</v>
      </c>
      <c r="J23" s="147"/>
      <c r="K23" s="193"/>
      <c r="L23" s="205" t="s">
        <v>156</v>
      </c>
      <c r="M23" s="206"/>
      <c r="N23" s="102" t="s">
        <v>110</v>
      </c>
      <c r="O23" s="146"/>
      <c r="P23" s="102" t="s">
        <v>110</v>
      </c>
      <c r="Q23" s="146"/>
      <c r="R23" s="102" t="s">
        <v>110</v>
      </c>
      <c r="S23" s="146"/>
      <c r="T23" s="102" t="s">
        <v>110</v>
      </c>
      <c r="U23" s="207"/>
      <c r="V23" s="39"/>
    </row>
    <row r="24" spans="1:22" ht="15.6">
      <c r="A24" s="208"/>
      <c r="B24" s="209"/>
      <c r="C24" s="210"/>
      <c r="D24" s="211"/>
      <c r="E24" s="60"/>
      <c r="F24" s="211"/>
      <c r="G24" s="60"/>
      <c r="H24" s="163"/>
      <c r="I24" s="60" t="s">
        <v>157</v>
      </c>
      <c r="J24" s="164"/>
      <c r="K24" s="193"/>
      <c r="L24" s="175" t="s">
        <v>158</v>
      </c>
      <c r="M24" s="158"/>
      <c r="N24" s="58" t="s">
        <v>158</v>
      </c>
      <c r="O24" s="163"/>
      <c r="P24" s="58"/>
      <c r="Q24" s="163"/>
      <c r="R24" s="58"/>
      <c r="S24" s="163"/>
      <c r="T24" s="58"/>
      <c r="U24" s="212"/>
    </row>
    <row r="25" spans="1:22" ht="15.6">
      <c r="A25" s="134" t="s">
        <v>143</v>
      </c>
      <c r="B25" s="135" t="s">
        <v>159</v>
      </c>
      <c r="C25" s="24" t="s">
        <v>143</v>
      </c>
      <c r="D25" s="140" t="s">
        <v>160</v>
      </c>
      <c r="E25" s="24" t="s">
        <v>143</v>
      </c>
      <c r="F25" s="140" t="s">
        <v>161</v>
      </c>
      <c r="G25" s="24" t="s">
        <v>143</v>
      </c>
      <c r="H25" s="135" t="s">
        <v>162</v>
      </c>
      <c r="I25" s="24" t="s">
        <v>143</v>
      </c>
      <c r="J25" s="166" t="s">
        <v>163</v>
      </c>
      <c r="K25" s="193"/>
      <c r="L25" s="139" t="s">
        <v>149</v>
      </c>
      <c r="M25" s="138" t="s">
        <v>164</v>
      </c>
      <c r="N25" s="24" t="s">
        <v>149</v>
      </c>
      <c r="O25" s="135" t="s">
        <v>165</v>
      </c>
      <c r="P25" s="24" t="s">
        <v>149</v>
      </c>
      <c r="Q25" s="135" t="s">
        <v>166</v>
      </c>
      <c r="R25" s="24" t="s">
        <v>149</v>
      </c>
      <c r="S25" s="135" t="s">
        <v>167</v>
      </c>
      <c r="T25" s="24" t="s">
        <v>149</v>
      </c>
      <c r="U25" s="202" t="s">
        <v>168</v>
      </c>
    </row>
    <row r="26" spans="1:22" ht="15.6">
      <c r="A26" s="142" t="str">
        <f>IF(ISNA(VLOOKUP("*"&amp;B25&amp;"*",[3]Sheet1!$A$1:$F$93,5,FALSE)),"",IF(VLOOKUP("*"&amp;B25&amp;"*",[3]Sheet1!$A$1:$F$93,5,FALSE)="",MID(VLOOKUP("*"&amp;B25&amp;"*",[3]Sheet1!$A$1:$F$93,4,FALSE),5,8)&amp;VLOOKUP("*"&amp;B25&amp;"*",[3]Sheet1!$A$1:$F$93,6,FALSE),VLOOKUP("*"&amp;B25&amp;"*",[3]Sheet1!$A$1:$F$93,5,FALSE)&amp;VLOOKUP("*"&amp;B25&amp;"*",[3]Sheet1!$A$1:$F$93,6,FALSE)))</f>
        <v/>
      </c>
      <c r="B26" s="143"/>
      <c r="C26" s="142" t="str">
        <f>IF(ISNA(VLOOKUP("*"&amp;D25&amp;"*",[3]Sheet1!$A$1:$F$93,5,FALSE)),"",IF(VLOOKUP("*"&amp;D25&amp;"*",[3]Sheet1!$A$1:$F$93,5,FALSE)="",MID(VLOOKUP("*"&amp;D25&amp;"*",[3]Sheet1!$A$1:$F$93,4,FALSE),5,8)&amp;VLOOKUP("*"&amp;D25&amp;"*",[3]Sheet1!$A$1:$F$93,6,FALSE),VLOOKUP("*"&amp;D25&amp;"*",[3]Sheet1!$A$1:$F$93,5,FALSE)&amp;VLOOKUP("*"&amp;D25&amp;"*",[3]Sheet1!$A$1:$F$93,6,FALSE)))</f>
        <v/>
      </c>
      <c r="D26" s="143"/>
      <c r="E26" s="142" t="str">
        <f>IF(ISNA(VLOOKUP("*"&amp;F25&amp;"*",[3]Sheet1!$A$1:$F$93,5,FALSE)),"",IF(VLOOKUP("*"&amp;F25&amp;"*",[3]Sheet1!$A$1:$F$93,5,FALSE)="",MID(VLOOKUP("*"&amp;F25&amp;"*",[3]Sheet1!$A$1:$F$93,4,FALSE),5,8)&amp;VLOOKUP("*"&amp;F25&amp;"*",[3]Sheet1!$A$1:$F$93,6,FALSE),VLOOKUP("*"&amp;F25&amp;"*",[3]Sheet1!$A$1:$F$93,5,FALSE)&amp;VLOOKUP("*"&amp;F25&amp;"*",[3]Sheet1!$A$1:$F$93,6,FALSE)))</f>
        <v/>
      </c>
      <c r="F26" s="143"/>
      <c r="G26" s="142" t="str">
        <f>IF(ISNA(VLOOKUP("*"&amp;H25&amp;"*",[3]Sheet1!$A$1:$F$93,5,FALSE)),"",IF(VLOOKUP("*"&amp;H25&amp;"*",[3]Sheet1!$A$1:$F$93,5,FALSE)="",MID(VLOOKUP("*"&amp;H25&amp;"*",[3]Sheet1!$A$1:$F$93,4,FALSE),5,8)&amp;VLOOKUP("*"&amp;H25&amp;"*",[3]Sheet1!$A$1:$F$93,6,FALSE),VLOOKUP("*"&amp;H25&amp;"*",[3]Sheet1!$A$1:$F$93,5,FALSE)&amp;VLOOKUP("*"&amp;H25&amp;"*",[3]Sheet1!$A$1:$F$93,6,FALSE)))</f>
        <v/>
      </c>
      <c r="H26" s="143"/>
      <c r="I26" s="142" t="str">
        <f>IF(ISNA(VLOOKUP("*"&amp;J25&amp;"*",[3]Sheet1!$A$1:$F$93,5,FALSE)),"",IF(VLOOKUP("*"&amp;J25&amp;"*",[3]Sheet1!$A$1:$F$93,5,FALSE)="",MID(VLOOKUP("*"&amp;J25&amp;"*",[3]Sheet1!$A$1:$F$93,4,FALSE),5,8)&amp;VLOOKUP("*"&amp;J25&amp;"*",[3]Sheet1!$A$1:$F$93,6,FALSE),VLOOKUP("*"&amp;J25&amp;"*",[3]Sheet1!$A$1:$F$93,5,FALSE)&amp;VLOOKUP("*"&amp;J25&amp;"*",[3]Sheet1!$A$1:$F$93,6,FALSE)))</f>
        <v/>
      </c>
      <c r="J26" s="143"/>
      <c r="K26" s="203"/>
      <c r="L26" s="142" t="str">
        <f>IF(ISNA(VLOOKUP("*"&amp;M25&amp;"*",[3]Sheet1!$A$1:$F$93,5,FALSE)),"",IF(VLOOKUP("*"&amp;M25&amp;"*",[3]Sheet1!$A$1:$F$93,5,FALSE)="",MID(VLOOKUP("*"&amp;M25&amp;"*",[3]Sheet1!$A$1:$F$93,4,FALSE),5,8)&amp;VLOOKUP("*"&amp;M25&amp;"*",[3]Sheet1!$A$1:$F$93,6,FALSE),VLOOKUP("*"&amp;M25&amp;"*",[3]Sheet1!$A$1:$F$93,5,FALSE)&amp;VLOOKUP("*"&amp;M25&amp;"*",[3]Sheet1!$A$1:$F$93,6,FALSE)))</f>
        <v/>
      </c>
      <c r="M26" s="143"/>
      <c r="N26" s="142" t="str">
        <f>IF(ISNA(VLOOKUP("*"&amp;O25&amp;"*",[3]Sheet1!$A$1:$F$93,5,FALSE)),"",IF(VLOOKUP("*"&amp;O25&amp;"*",[3]Sheet1!$A$1:$F$93,5,FALSE)="",MID(VLOOKUP("*"&amp;O25&amp;"*",[3]Sheet1!$A$1:$F$93,4,FALSE),5,8)&amp;VLOOKUP("*"&amp;O25&amp;"*",[3]Sheet1!$A$1:$F$93,6,FALSE),VLOOKUP("*"&amp;O25&amp;"*",[3]Sheet1!$A$1:$F$93,5,FALSE)&amp;VLOOKUP("*"&amp;O25&amp;"*",[3]Sheet1!$A$1:$F$93,6,FALSE)))</f>
        <v/>
      </c>
      <c r="O26" s="143"/>
      <c r="P26" s="142" t="str">
        <f>IF(ISNA(VLOOKUP("*"&amp;Q25&amp;"*",[3]Sheet1!$A$1:$F$93,5,FALSE)),"",IF(VLOOKUP("*"&amp;Q25&amp;"*",[3]Sheet1!$A$1:$F$93,5,FALSE)="",MID(VLOOKUP("*"&amp;Q25&amp;"*",[3]Sheet1!$A$1:$F$93,4,FALSE),5,8)&amp;VLOOKUP("*"&amp;Q25&amp;"*",[3]Sheet1!$A$1:$F$93,6,FALSE),VLOOKUP("*"&amp;Q25&amp;"*",[3]Sheet1!$A$1:$F$93,5,FALSE)&amp;VLOOKUP("*"&amp;Q25&amp;"*",[3]Sheet1!$A$1:$F$93,6,FALSE)))</f>
        <v/>
      </c>
      <c r="Q26" s="143"/>
      <c r="R26" s="142" t="str">
        <f>IF(ISNA(VLOOKUP("*"&amp;S25&amp;"*",[3]Sheet1!$A$1:$F$93,5,FALSE)),"",IF(VLOOKUP("*"&amp;S25&amp;"*",[3]Sheet1!$A$1:$F$93,5,FALSE)="",MID(VLOOKUP("*"&amp;S25&amp;"*",[3]Sheet1!$A$1:$F$93,4,FALSE),5,8)&amp;VLOOKUP("*"&amp;S25&amp;"*",[3]Sheet1!$A$1:$F$93,6,FALSE),VLOOKUP("*"&amp;S25&amp;"*",[3]Sheet1!$A$1:$F$93,5,FALSE)&amp;VLOOKUP("*"&amp;S25&amp;"*",[3]Sheet1!$A$1:$F$93,6,FALSE)))</f>
        <v/>
      </c>
      <c r="S26" s="143"/>
      <c r="T26" s="142" t="str">
        <f>IF(ISNA(VLOOKUP("*"&amp;U25&amp;"*",[3]Sheet1!$A$1:$F$93,5,FALSE)),"",IF(VLOOKUP("*"&amp;U25&amp;"*",[3]Sheet1!$A$1:$F$93,5,FALSE)="",MID(VLOOKUP("*"&amp;U25&amp;"*",[3]Sheet1!$A$1:$F$93,4,FALSE),5,8)&amp;VLOOKUP("*"&amp;U25&amp;"*",[3]Sheet1!$A$1:$F$93,6,FALSE),VLOOKUP("*"&amp;U25&amp;"*",[3]Sheet1!$A$1:$F$93,5,FALSE)&amp;VLOOKUP("*"&amp;U25&amp;"*",[3]Sheet1!$A$1:$F$93,6,FALSE)))</f>
        <v/>
      </c>
      <c r="U26" s="143"/>
    </row>
    <row r="27" spans="1:22" ht="16.2" thickBot="1">
      <c r="A27" s="204" t="s">
        <v>155</v>
      </c>
      <c r="B27" s="102"/>
      <c r="C27" s="145" t="s">
        <v>155</v>
      </c>
      <c r="D27" s="146"/>
      <c r="E27" s="102" t="s">
        <v>155</v>
      </c>
      <c r="F27" s="146"/>
      <c r="G27" s="102" t="s">
        <v>155</v>
      </c>
      <c r="H27" s="146"/>
      <c r="I27" s="102" t="s">
        <v>155</v>
      </c>
      <c r="J27" s="147"/>
      <c r="K27" s="193"/>
      <c r="L27" s="213" t="s">
        <v>156</v>
      </c>
      <c r="M27" s="214"/>
      <c r="N27" s="102" t="s">
        <v>110</v>
      </c>
      <c r="O27" s="146"/>
      <c r="P27" s="102" t="s">
        <v>110</v>
      </c>
      <c r="Q27" s="146"/>
      <c r="R27" s="102" t="s">
        <v>110</v>
      </c>
      <c r="S27" s="146"/>
      <c r="T27" s="102" t="s">
        <v>110</v>
      </c>
      <c r="U27" s="207"/>
      <c r="V27" s="39"/>
    </row>
    <row r="28" spans="1:22" ht="16.2" thickTop="1">
      <c r="A28" s="215"/>
      <c r="B28" s="209"/>
      <c r="C28" s="210"/>
      <c r="D28" s="211"/>
      <c r="E28" s="60"/>
      <c r="F28" s="211"/>
      <c r="G28" s="60"/>
      <c r="H28" s="216"/>
      <c r="I28" s="60" t="s">
        <v>169</v>
      </c>
      <c r="J28" s="164"/>
      <c r="K28" s="6"/>
      <c r="L28" s="215"/>
      <c r="M28" s="217"/>
      <c r="N28" s="58"/>
      <c r="O28" s="163"/>
      <c r="P28" s="58"/>
      <c r="Q28" s="163"/>
      <c r="R28" s="58"/>
      <c r="S28" s="163"/>
      <c r="T28" s="58"/>
      <c r="U28" s="212"/>
    </row>
    <row r="29" spans="1:22" ht="15.6">
      <c r="A29" s="134" t="s">
        <v>143</v>
      </c>
      <c r="B29" s="135" t="s">
        <v>170</v>
      </c>
      <c r="C29" s="24" t="s">
        <v>143</v>
      </c>
      <c r="D29" s="135" t="s">
        <v>171</v>
      </c>
      <c r="E29" s="24" t="s">
        <v>143</v>
      </c>
      <c r="F29" s="140" t="s">
        <v>172</v>
      </c>
      <c r="G29" s="24" t="s">
        <v>143</v>
      </c>
      <c r="H29" s="135" t="s">
        <v>173</v>
      </c>
      <c r="I29" s="24" t="s">
        <v>143</v>
      </c>
      <c r="J29" s="166" t="s">
        <v>174</v>
      </c>
      <c r="K29" s="6"/>
      <c r="L29" s="134" t="s">
        <v>143</v>
      </c>
      <c r="M29" s="218" t="s">
        <v>175</v>
      </c>
      <c r="N29" s="24" t="s">
        <v>149</v>
      </c>
      <c r="O29" s="135" t="s">
        <v>176</v>
      </c>
      <c r="P29" s="24" t="s">
        <v>149</v>
      </c>
      <c r="Q29" s="135" t="s">
        <v>177</v>
      </c>
      <c r="R29" s="24" t="s">
        <v>149</v>
      </c>
      <c r="S29" s="135" t="s">
        <v>178</v>
      </c>
      <c r="T29" s="24" t="s">
        <v>149</v>
      </c>
      <c r="U29" s="202" t="s">
        <v>179</v>
      </c>
    </row>
    <row r="30" spans="1:22" ht="15.6">
      <c r="A30" s="142" t="str">
        <f>IF(ISNA(VLOOKUP("*"&amp;B29&amp;"*",[3]Sheet1!$A$1:$F$93,5,FALSE)),"",IF(VLOOKUP("*"&amp;B29&amp;"*",[3]Sheet1!$A$1:$F$93,5,FALSE)="",MID(VLOOKUP("*"&amp;B29&amp;"*",[3]Sheet1!$A$1:$F$93,4,FALSE),5,8)&amp;VLOOKUP("*"&amp;B29&amp;"*",[3]Sheet1!$A$1:$F$93,6,FALSE),VLOOKUP("*"&amp;B29&amp;"*",[3]Sheet1!$A$1:$F$93,5,FALSE)&amp;VLOOKUP("*"&amp;B29&amp;"*",[3]Sheet1!$A$1:$F$93,6,FALSE)))</f>
        <v/>
      </c>
      <c r="B30" s="143"/>
      <c r="C30" s="142" t="str">
        <f>IF(ISNA(VLOOKUP("*"&amp;D29&amp;"*",[3]Sheet1!$A$1:$F$93,5,FALSE)),"",IF(VLOOKUP("*"&amp;D29&amp;"*",[3]Sheet1!$A$1:$F$93,5,FALSE)="",MID(VLOOKUP("*"&amp;D29&amp;"*",[3]Sheet1!$A$1:$F$93,4,FALSE),5,8)&amp;VLOOKUP("*"&amp;D29&amp;"*",[3]Sheet1!$A$1:$F$93,6,FALSE),VLOOKUP("*"&amp;D29&amp;"*",[3]Sheet1!$A$1:$F$93,5,FALSE)&amp;VLOOKUP("*"&amp;D29&amp;"*",[3]Sheet1!$A$1:$F$93,6,FALSE)))</f>
        <v/>
      </c>
      <c r="D30" s="143"/>
      <c r="E30" s="142" t="str">
        <f>IF(ISNA(VLOOKUP("*"&amp;F29&amp;"*",[3]Sheet1!$A$1:$F$93,5,FALSE)),"",IF(VLOOKUP("*"&amp;F29&amp;"*",[3]Sheet1!$A$1:$F$93,5,FALSE)="",MID(VLOOKUP("*"&amp;F29&amp;"*",[3]Sheet1!$A$1:$F$93,4,FALSE),5,8)&amp;VLOOKUP("*"&amp;F29&amp;"*",[3]Sheet1!$A$1:$F$93,6,FALSE),VLOOKUP("*"&amp;F29&amp;"*",[3]Sheet1!$A$1:$F$93,5,FALSE)&amp;VLOOKUP("*"&amp;F29&amp;"*",[3]Sheet1!$A$1:$F$93,6,FALSE)))</f>
        <v/>
      </c>
      <c r="F30" s="143"/>
      <c r="G30" s="142" t="str">
        <f>IF(ISNA(VLOOKUP("*"&amp;H29&amp;"*",[3]Sheet1!$A$1:$F$93,5,FALSE)),"",IF(VLOOKUP("*"&amp;H29&amp;"*",[3]Sheet1!$A$1:$F$93,5,FALSE)="",MID(VLOOKUP("*"&amp;H29&amp;"*",[3]Sheet1!$A$1:$F$93,4,FALSE),5,8)&amp;VLOOKUP("*"&amp;H29&amp;"*",[3]Sheet1!$A$1:$F$93,6,FALSE),VLOOKUP("*"&amp;H29&amp;"*",[3]Sheet1!$A$1:$F$93,5,FALSE)&amp;VLOOKUP("*"&amp;H29&amp;"*",[3]Sheet1!$A$1:$F$93,6,FALSE)))</f>
        <v/>
      </c>
      <c r="H30" s="143"/>
      <c r="I30" s="142" t="str">
        <f>IF(ISNA(VLOOKUP("*"&amp;J29&amp;"*",[3]Sheet1!$A$1:$F$93,5,FALSE)),"",IF(VLOOKUP("*"&amp;J29&amp;"*",[3]Sheet1!$A$1:$F$93,5,FALSE)="",MID(VLOOKUP("*"&amp;J29&amp;"*",[3]Sheet1!$A$1:$F$93,4,FALSE),5,8)&amp;VLOOKUP("*"&amp;J29&amp;"*",[3]Sheet1!$A$1:$F$93,6,FALSE),VLOOKUP("*"&amp;J29&amp;"*",[3]Sheet1!$A$1:$F$93,5,FALSE)&amp;VLOOKUP("*"&amp;J29&amp;"*",[3]Sheet1!$A$1:$F$93,6,FALSE)))</f>
        <v/>
      </c>
      <c r="J30" s="143"/>
      <c r="K30" s="100"/>
      <c r="L30" s="142" t="str">
        <f>IF(ISNA(VLOOKUP("*"&amp;M29&amp;"*",[3]Sheet1!$A$1:$F$93,5,FALSE)),"",IF(VLOOKUP("*"&amp;M29&amp;"*",[3]Sheet1!$A$1:$F$93,5,FALSE)="",MID(VLOOKUP("*"&amp;M29&amp;"*",[3]Sheet1!$A$1:$F$93,4,FALSE),5,8)&amp;VLOOKUP("*"&amp;M29&amp;"*",[3]Sheet1!$A$1:$F$93,6,FALSE),VLOOKUP("*"&amp;M29&amp;"*",[3]Sheet1!$A$1:$F$93,5,FALSE)&amp;VLOOKUP("*"&amp;M29&amp;"*",[3]Sheet1!$A$1:$F$93,6,FALSE)))</f>
        <v/>
      </c>
      <c r="M30" s="143"/>
      <c r="N30" s="142" t="str">
        <f>IF(ISNA(VLOOKUP("*"&amp;O29&amp;"*",[3]Sheet1!$A$1:$F$93,5,FALSE)),"",IF(VLOOKUP("*"&amp;O29&amp;"*",[3]Sheet1!$A$1:$F$93,5,FALSE)="",MID(VLOOKUP("*"&amp;O29&amp;"*",[3]Sheet1!$A$1:$F$93,4,FALSE),5,8)&amp;VLOOKUP("*"&amp;O29&amp;"*",[3]Sheet1!$A$1:$F$93,6,FALSE),VLOOKUP("*"&amp;O29&amp;"*",[3]Sheet1!$A$1:$F$93,5,FALSE)&amp;VLOOKUP("*"&amp;O29&amp;"*",[3]Sheet1!$A$1:$F$93,6,FALSE)))</f>
        <v/>
      </c>
      <c r="O30" s="143"/>
      <c r="P30" s="142" t="str">
        <f>IF(ISNA(VLOOKUP("*"&amp;Q29&amp;"*",[3]Sheet1!$A$1:$F$93,5,FALSE)),"",IF(VLOOKUP("*"&amp;Q29&amp;"*",[3]Sheet1!$A$1:$F$93,5,FALSE)="",MID(VLOOKUP("*"&amp;Q29&amp;"*",[3]Sheet1!$A$1:$F$93,4,FALSE),5,8)&amp;VLOOKUP("*"&amp;Q29&amp;"*",[3]Sheet1!$A$1:$F$93,6,FALSE),VLOOKUP("*"&amp;Q29&amp;"*",[3]Sheet1!$A$1:$F$93,5,FALSE)&amp;VLOOKUP("*"&amp;Q29&amp;"*",[3]Sheet1!$A$1:$F$93,6,FALSE)))</f>
        <v/>
      </c>
      <c r="Q30" s="143"/>
      <c r="R30" s="142" t="str">
        <f>IF(ISNA(VLOOKUP("*"&amp;S29&amp;"*",[3]Sheet1!$A$1:$F$93,5,FALSE)),"",IF(VLOOKUP("*"&amp;S29&amp;"*",[3]Sheet1!$A$1:$F$93,5,FALSE)="",MID(VLOOKUP("*"&amp;S29&amp;"*",[3]Sheet1!$A$1:$F$93,4,FALSE),5,8)&amp;VLOOKUP("*"&amp;S29&amp;"*",[3]Sheet1!$A$1:$F$93,6,FALSE),VLOOKUP("*"&amp;S29&amp;"*",[3]Sheet1!$A$1:$F$93,5,FALSE)&amp;VLOOKUP("*"&amp;S29&amp;"*",[3]Sheet1!$A$1:$F$93,6,FALSE)))</f>
        <v/>
      </c>
      <c r="S30" s="143"/>
      <c r="T30" s="142" t="str">
        <f>IF(ISNA(VLOOKUP("*"&amp;U29&amp;"*",[3]Sheet1!$A$1:$F$93,5,FALSE)),"",IF(VLOOKUP("*"&amp;U29&amp;"*",[3]Sheet1!$A$1:$F$93,5,FALSE)="",MID(VLOOKUP("*"&amp;U29&amp;"*",[3]Sheet1!$A$1:$F$93,4,FALSE),5,8)&amp;VLOOKUP("*"&amp;U29&amp;"*",[3]Sheet1!$A$1:$F$93,6,FALSE),VLOOKUP("*"&amp;U29&amp;"*",[3]Sheet1!$A$1:$F$93,5,FALSE)&amp;VLOOKUP("*"&amp;U29&amp;"*",[3]Sheet1!$A$1:$F$93,6,FALSE)))</f>
        <v/>
      </c>
      <c r="U30" s="143"/>
    </row>
    <row r="31" spans="1:22" ht="16.2" thickBot="1">
      <c r="A31" s="219" t="s">
        <v>155</v>
      </c>
      <c r="B31" s="182"/>
      <c r="C31" s="183" t="s">
        <v>155</v>
      </c>
      <c r="D31" s="184"/>
      <c r="E31" s="182" t="s">
        <v>155</v>
      </c>
      <c r="F31" s="184"/>
      <c r="G31" s="182" t="s">
        <v>155</v>
      </c>
      <c r="H31" s="184"/>
      <c r="I31" s="182" t="s">
        <v>155</v>
      </c>
      <c r="J31" s="185"/>
      <c r="K31" s="6"/>
      <c r="L31" s="219" t="s">
        <v>155</v>
      </c>
      <c r="M31" s="220"/>
      <c r="N31" s="221" t="s">
        <v>110</v>
      </c>
      <c r="O31" s="222"/>
      <c r="P31" s="221" t="s">
        <v>110</v>
      </c>
      <c r="Q31" s="222"/>
      <c r="R31" s="221" t="s">
        <v>110</v>
      </c>
      <c r="S31" s="222"/>
      <c r="T31" s="223" t="s">
        <v>110</v>
      </c>
      <c r="U31" s="224"/>
      <c r="V31" s="39"/>
    </row>
    <row r="32" spans="1:22" ht="15" thickTop="1">
      <c r="A32" s="119" t="s">
        <v>180</v>
      </c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</row>
  </sheetData>
  <mergeCells count="218">
    <mergeCell ref="N31:O31"/>
    <mergeCell ref="P31:Q31"/>
    <mergeCell ref="R31:S31"/>
    <mergeCell ref="T31:U31"/>
    <mergeCell ref="A32:U32"/>
    <mergeCell ref="N30:O30"/>
    <mergeCell ref="P30:Q30"/>
    <mergeCell ref="R30:S30"/>
    <mergeCell ref="T30:U30"/>
    <mergeCell ref="A31:B31"/>
    <mergeCell ref="C31:D31"/>
    <mergeCell ref="E31:F31"/>
    <mergeCell ref="G31:H31"/>
    <mergeCell ref="I31:J31"/>
    <mergeCell ref="L31:M31"/>
    <mergeCell ref="N28:O28"/>
    <mergeCell ref="P28:Q28"/>
    <mergeCell ref="R28:S28"/>
    <mergeCell ref="T28:U28"/>
    <mergeCell ref="A30:B30"/>
    <mergeCell ref="C30:D30"/>
    <mergeCell ref="E30:F30"/>
    <mergeCell ref="G30:H30"/>
    <mergeCell ref="I30:J30"/>
    <mergeCell ref="L30:M30"/>
    <mergeCell ref="N27:O27"/>
    <mergeCell ref="P27:Q27"/>
    <mergeCell ref="R27:S27"/>
    <mergeCell ref="T27:U27"/>
    <mergeCell ref="A28:B28"/>
    <mergeCell ref="C28:D28"/>
    <mergeCell ref="E28:F28"/>
    <mergeCell ref="G28:H28"/>
    <mergeCell ref="I28:J28"/>
    <mergeCell ref="L28:M28"/>
    <mergeCell ref="N26:O26"/>
    <mergeCell ref="P26:Q26"/>
    <mergeCell ref="R26:S26"/>
    <mergeCell ref="T26:U26"/>
    <mergeCell ref="A27:B27"/>
    <mergeCell ref="C27:D27"/>
    <mergeCell ref="E27:F27"/>
    <mergeCell ref="G27:H27"/>
    <mergeCell ref="I27:J27"/>
    <mergeCell ref="L27:M27"/>
    <mergeCell ref="N24:O24"/>
    <mergeCell ref="P24:Q24"/>
    <mergeCell ref="R24:S24"/>
    <mergeCell ref="T24:U24"/>
    <mergeCell ref="A26:B26"/>
    <mergeCell ref="C26:D26"/>
    <mergeCell ref="E26:F26"/>
    <mergeCell ref="G26:H26"/>
    <mergeCell ref="I26:J26"/>
    <mergeCell ref="L26:M26"/>
    <mergeCell ref="N23:O23"/>
    <mergeCell ref="P23:Q23"/>
    <mergeCell ref="R23:S23"/>
    <mergeCell ref="T23:U23"/>
    <mergeCell ref="A24:B24"/>
    <mergeCell ref="C24:D24"/>
    <mergeCell ref="E24:F24"/>
    <mergeCell ref="G24:H24"/>
    <mergeCell ref="I24:J24"/>
    <mergeCell ref="L24:M24"/>
    <mergeCell ref="N22:O22"/>
    <mergeCell ref="P22:Q22"/>
    <mergeCell ref="R22:S22"/>
    <mergeCell ref="T22:U22"/>
    <mergeCell ref="A23:B23"/>
    <mergeCell ref="C23:D23"/>
    <mergeCell ref="E23:F23"/>
    <mergeCell ref="G23:H23"/>
    <mergeCell ref="I23:J23"/>
    <mergeCell ref="L23:M23"/>
    <mergeCell ref="N20:O20"/>
    <mergeCell ref="P20:Q20"/>
    <mergeCell ref="R20:S20"/>
    <mergeCell ref="T20:U20"/>
    <mergeCell ref="A22:B22"/>
    <mergeCell ref="C22:D22"/>
    <mergeCell ref="E22:F22"/>
    <mergeCell ref="G22:H22"/>
    <mergeCell ref="I22:J22"/>
    <mergeCell ref="L22:M22"/>
    <mergeCell ref="A20:B20"/>
    <mergeCell ref="C20:D20"/>
    <mergeCell ref="E20:F20"/>
    <mergeCell ref="G20:H20"/>
    <mergeCell ref="I20:J20"/>
    <mergeCell ref="L20:M20"/>
    <mergeCell ref="P18:Q18"/>
    <mergeCell ref="R18:S18"/>
    <mergeCell ref="T18:U18"/>
    <mergeCell ref="C19:D19"/>
    <mergeCell ref="E19:F19"/>
    <mergeCell ref="G19:H19"/>
    <mergeCell ref="I19:J19"/>
    <mergeCell ref="P17:Q17"/>
    <mergeCell ref="R17:S17"/>
    <mergeCell ref="T17:U17"/>
    <mergeCell ref="A18:B18"/>
    <mergeCell ref="C18:D18"/>
    <mergeCell ref="E18:F18"/>
    <mergeCell ref="G18:H18"/>
    <mergeCell ref="I18:J18"/>
    <mergeCell ref="L18:M18"/>
    <mergeCell ref="N18:O18"/>
    <mergeCell ref="P15:Q15"/>
    <mergeCell ref="R15:S15"/>
    <mergeCell ref="T15:U15"/>
    <mergeCell ref="A17:B17"/>
    <mergeCell ref="C17:D17"/>
    <mergeCell ref="E17:F17"/>
    <mergeCell ref="G17:H17"/>
    <mergeCell ref="I17:J17"/>
    <mergeCell ref="L17:M17"/>
    <mergeCell ref="N17:O17"/>
    <mergeCell ref="P14:Q14"/>
    <mergeCell ref="R14:S14"/>
    <mergeCell ref="T14:U14"/>
    <mergeCell ref="A15:B15"/>
    <mergeCell ref="C15:D15"/>
    <mergeCell ref="E15:F15"/>
    <mergeCell ref="G15:H15"/>
    <mergeCell ref="I15:J15"/>
    <mergeCell ref="L15:M15"/>
    <mergeCell ref="N15:O15"/>
    <mergeCell ref="P13:Q13"/>
    <mergeCell ref="R13:S13"/>
    <mergeCell ref="T13:U13"/>
    <mergeCell ref="A14:B14"/>
    <mergeCell ref="C14:D14"/>
    <mergeCell ref="E14:F14"/>
    <mergeCell ref="G14:H14"/>
    <mergeCell ref="I14:J14"/>
    <mergeCell ref="L14:M14"/>
    <mergeCell ref="N14:O14"/>
    <mergeCell ref="P11:Q11"/>
    <mergeCell ref="R11:S11"/>
    <mergeCell ref="T11:U11"/>
    <mergeCell ref="A13:B13"/>
    <mergeCell ref="C13:D13"/>
    <mergeCell ref="E13:F13"/>
    <mergeCell ref="G13:H13"/>
    <mergeCell ref="I13:J13"/>
    <mergeCell ref="L13:M13"/>
    <mergeCell ref="N13:O13"/>
    <mergeCell ref="P10:Q10"/>
    <mergeCell ref="R10:S10"/>
    <mergeCell ref="T10:U10"/>
    <mergeCell ref="A11:B11"/>
    <mergeCell ref="C11:D11"/>
    <mergeCell ref="E11:F11"/>
    <mergeCell ref="G11:H11"/>
    <mergeCell ref="I11:J11"/>
    <mergeCell ref="L11:M11"/>
    <mergeCell ref="N11:O11"/>
    <mergeCell ref="P9:Q9"/>
    <mergeCell ref="R9:S9"/>
    <mergeCell ref="T9:U9"/>
    <mergeCell ref="A10:B10"/>
    <mergeCell ref="C10:D10"/>
    <mergeCell ref="E10:F10"/>
    <mergeCell ref="G10:H10"/>
    <mergeCell ref="I10:J10"/>
    <mergeCell ref="L10:M10"/>
    <mergeCell ref="N10:O10"/>
    <mergeCell ref="P7:Q7"/>
    <mergeCell ref="R7:S7"/>
    <mergeCell ref="T7:U7"/>
    <mergeCell ref="A9:B9"/>
    <mergeCell ref="C9:D9"/>
    <mergeCell ref="E9:F9"/>
    <mergeCell ref="G9:H9"/>
    <mergeCell ref="I9:J9"/>
    <mergeCell ref="L9:M9"/>
    <mergeCell ref="N9:O9"/>
    <mergeCell ref="P6:Q6"/>
    <mergeCell ref="R6:S6"/>
    <mergeCell ref="T6:U6"/>
    <mergeCell ref="A7:B7"/>
    <mergeCell ref="C7:D7"/>
    <mergeCell ref="E7:F7"/>
    <mergeCell ref="G7:H7"/>
    <mergeCell ref="I7:J7"/>
    <mergeCell ref="L7:M7"/>
    <mergeCell ref="N7:O7"/>
    <mergeCell ref="P5:Q5"/>
    <mergeCell ref="R5:S5"/>
    <mergeCell ref="T5:U5"/>
    <mergeCell ref="A6:B6"/>
    <mergeCell ref="C6:D6"/>
    <mergeCell ref="E6:F6"/>
    <mergeCell ref="G6:H6"/>
    <mergeCell ref="I6:J6"/>
    <mergeCell ref="L6:M6"/>
    <mergeCell ref="N6:O6"/>
    <mergeCell ref="P3:Q3"/>
    <mergeCell ref="R3:S3"/>
    <mergeCell ref="T3:U3"/>
    <mergeCell ref="A5:B5"/>
    <mergeCell ref="C5:D5"/>
    <mergeCell ref="E5:F5"/>
    <mergeCell ref="G5:H5"/>
    <mergeCell ref="I5:J5"/>
    <mergeCell ref="L5:M5"/>
    <mergeCell ref="N5:O5"/>
    <mergeCell ref="A1:U1"/>
    <mergeCell ref="C2:F2"/>
    <mergeCell ref="R2:U2"/>
    <mergeCell ref="A3:B3"/>
    <mergeCell ref="C3:D3"/>
    <mergeCell ref="E3:F3"/>
    <mergeCell ref="G3:H3"/>
    <mergeCell ref="I3:J3"/>
    <mergeCell ref="L3:M3"/>
    <mergeCell ref="N3:O3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Blanks" priority="18" id="{41D3950A-2DFE-4AB7-8CEE-672A35B1B5C5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K26 K30 K22 K13</xm:sqref>
        </x14:conditionalFormatting>
        <x14:conditionalFormatting xmlns:xm="http://schemas.microsoft.com/office/excel/2006/main">
          <x14:cfRule type="notContainsBlanks" priority="17" id="{1BC68B5B-A199-4E60-B176-EB02413CBB60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A5</xm:sqref>
        </x14:conditionalFormatting>
        <x14:conditionalFormatting xmlns:xm="http://schemas.microsoft.com/office/excel/2006/main">
          <x14:cfRule type="notContainsBlanks" priority="16" id="{D9F9806A-C9B0-412D-B93C-8B4EAD5FCF29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C11:J11</xm:sqref>
        </x14:conditionalFormatting>
        <x14:conditionalFormatting xmlns:xm="http://schemas.microsoft.com/office/excel/2006/main">
          <x14:cfRule type="notContainsBlanks" priority="15" id="{A0D7CEBE-C6ED-4B86-92E8-D150B4F5C8A8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A11:B11</xm:sqref>
        </x14:conditionalFormatting>
        <x14:conditionalFormatting xmlns:xm="http://schemas.microsoft.com/office/excel/2006/main">
          <x14:cfRule type="notContainsBlanks" priority="14" id="{C7D96136-898B-4405-A79B-BEB71BAB67F8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C5 E5 G5 I5</xm:sqref>
        </x14:conditionalFormatting>
        <x14:conditionalFormatting xmlns:xm="http://schemas.microsoft.com/office/excel/2006/main">
          <x14:cfRule type="notContainsBlanks" priority="13" id="{2905DCDB-5C6C-4797-92C1-918B22059080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L5 N5 P5 R5 T5</xm:sqref>
        </x14:conditionalFormatting>
        <x14:conditionalFormatting xmlns:xm="http://schemas.microsoft.com/office/excel/2006/main">
          <x14:cfRule type="notContainsBlanks" priority="12" id="{9937C40C-4DA8-4697-9EE0-B9F4B2F11D60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A9 C9 E9 G9 I9</xm:sqref>
        </x14:conditionalFormatting>
        <x14:conditionalFormatting xmlns:xm="http://schemas.microsoft.com/office/excel/2006/main">
          <x14:cfRule type="notContainsBlanks" priority="11" id="{A8A1C83E-0BC2-4712-AA79-A6E88DB67434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L9 N9 P9 R9 T9</xm:sqref>
        </x14:conditionalFormatting>
        <x14:conditionalFormatting xmlns:xm="http://schemas.microsoft.com/office/excel/2006/main">
          <x14:cfRule type="notContainsBlanks" priority="10" id="{E885F4DD-4EC6-46B5-A04C-A883E4B7384B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A13 C13 E13 G13 I13</xm:sqref>
        </x14:conditionalFormatting>
        <x14:conditionalFormatting xmlns:xm="http://schemas.microsoft.com/office/excel/2006/main">
          <x14:cfRule type="notContainsBlanks" priority="9" id="{F174EF15-5AE9-4611-8D67-114575B75E92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L13 N13 P13 R13 T13</xm:sqref>
        </x14:conditionalFormatting>
        <x14:conditionalFormatting xmlns:xm="http://schemas.microsoft.com/office/excel/2006/main">
          <x14:cfRule type="notContainsBlanks" priority="8" id="{30CFFEFA-B67B-48B5-9F4C-6BDF162A1DF8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A17 C17 E17 G17 I17</xm:sqref>
        </x14:conditionalFormatting>
        <x14:conditionalFormatting xmlns:xm="http://schemas.microsoft.com/office/excel/2006/main">
          <x14:cfRule type="notContainsBlanks" priority="7" id="{043BBF6D-EE64-4B1E-BF57-4B33F625EC8C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L17 N17 P17 R17 T17</xm:sqref>
        </x14:conditionalFormatting>
        <x14:conditionalFormatting xmlns:xm="http://schemas.microsoft.com/office/excel/2006/main">
          <x14:cfRule type="notContainsBlanks" priority="6" id="{EB880E48-5998-41E2-B764-405782BF6548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A22 C22 E22 G22 I22</xm:sqref>
        </x14:conditionalFormatting>
        <x14:conditionalFormatting xmlns:xm="http://schemas.microsoft.com/office/excel/2006/main">
          <x14:cfRule type="notContainsBlanks" priority="5" id="{30BCB5D0-59EC-4EBD-8BD7-8D569CC79E2B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A26 C26 E26 G26 I26</xm:sqref>
        </x14:conditionalFormatting>
        <x14:conditionalFormatting xmlns:xm="http://schemas.microsoft.com/office/excel/2006/main">
          <x14:cfRule type="notContainsBlanks" priority="4" id="{9672DC78-D3AA-4E8F-8DE3-1A622238CC1A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A30 C30 E30 G30 I30</xm:sqref>
        </x14:conditionalFormatting>
        <x14:conditionalFormatting xmlns:xm="http://schemas.microsoft.com/office/excel/2006/main">
          <x14:cfRule type="notContainsBlanks" priority="3" id="{86F23E64-DE5F-4EF8-94C4-CC60E0248BF6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L22 N22 P22 R22 T22</xm:sqref>
        </x14:conditionalFormatting>
        <x14:conditionalFormatting xmlns:xm="http://schemas.microsoft.com/office/excel/2006/main">
          <x14:cfRule type="notContainsBlanks" priority="2" id="{4FE4C803-5DD1-410B-B17D-6A688AEE4563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L26 N26 P26 R26 T26</xm:sqref>
        </x14:conditionalFormatting>
        <x14:conditionalFormatting xmlns:xm="http://schemas.microsoft.com/office/excel/2006/main">
          <x14:cfRule type="notContainsBlanks" priority="1" id="{96CC9280-C53F-4FC2-8443-5F59F390F771}">
            <xm:f>LEN(TRIM('\CÂN TAN\[Mã máy các tầng ghi chú lỗi.xlsx]三楼C车间'!#REF!))&gt;0</xm:f>
            <x14:dxf>
              <fill>
                <patternFill>
                  <bgColor theme="0" tint="-0.14996795556505021"/>
                </patternFill>
              </fill>
            </x14:dxf>
          </x14:cfRule>
          <xm:sqref>L30 N30 P30 R30 T30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2"/>
  <sheetViews>
    <sheetView workbookViewId="0">
      <selection activeCell="V9" sqref="V9"/>
    </sheetView>
  </sheetViews>
  <sheetFormatPr defaultColWidth="9" defaultRowHeight="14.4"/>
  <cols>
    <col min="1" max="10" width="6.109375" customWidth="1"/>
    <col min="11" max="11" width="9.5546875" customWidth="1"/>
    <col min="12" max="21" width="6.109375" customWidth="1"/>
    <col min="24" max="24" width="15.44140625" customWidth="1"/>
    <col min="25" max="25" width="17.109375" style="226" customWidth="1"/>
  </cols>
  <sheetData>
    <row r="1" spans="1:33" ht="30.6">
      <c r="A1" s="225" t="s">
        <v>181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</row>
    <row r="2" spans="1:33" ht="16.2" thickBot="1">
      <c r="A2" s="227"/>
      <c r="B2" s="227"/>
      <c r="C2" s="228"/>
      <c r="D2" s="228"/>
      <c r="E2" s="228"/>
      <c r="F2" s="228"/>
      <c r="G2" s="227"/>
      <c r="H2" s="227"/>
      <c r="I2" s="227"/>
      <c r="J2" s="229"/>
      <c r="K2" s="230"/>
      <c r="L2" s="227"/>
      <c r="M2" s="227"/>
      <c r="N2" s="227"/>
      <c r="O2" s="227"/>
      <c r="P2" s="227"/>
      <c r="Q2" s="227"/>
      <c r="R2" s="231">
        <f ca="1">NOW()</f>
        <v>45536.573097337961</v>
      </c>
      <c r="S2" s="231"/>
      <c r="T2" s="231"/>
      <c r="U2" s="231"/>
    </row>
    <row r="3" spans="1:33" s="248" customFormat="1">
      <c r="A3" s="232" t="s">
        <v>182</v>
      </c>
      <c r="B3" s="233"/>
      <c r="C3" s="234" t="s">
        <v>183</v>
      </c>
      <c r="D3" s="235"/>
      <c r="E3" s="236" t="s">
        <v>183</v>
      </c>
      <c r="F3" s="236"/>
      <c r="G3" s="237" t="s">
        <v>183</v>
      </c>
      <c r="H3" s="236"/>
      <c r="I3" s="234" t="s">
        <v>184</v>
      </c>
      <c r="J3" s="238"/>
      <c r="K3" s="239"/>
      <c r="L3" s="240" t="s">
        <v>184</v>
      </c>
      <c r="M3" s="241"/>
      <c r="N3" s="242" t="s">
        <v>184</v>
      </c>
      <c r="O3" s="238"/>
      <c r="P3" s="243"/>
      <c r="Q3" s="244"/>
      <c r="R3" s="245"/>
      <c r="S3" s="246"/>
      <c r="T3" s="243"/>
      <c r="U3" s="247"/>
      <c r="Y3" s="249"/>
    </row>
    <row r="4" spans="1:33" ht="15.6">
      <c r="A4" s="250" t="s">
        <v>185</v>
      </c>
      <c r="B4" s="251" t="s">
        <v>186</v>
      </c>
      <c r="C4" s="252" t="s">
        <v>185</v>
      </c>
      <c r="D4" s="251" t="s">
        <v>187</v>
      </c>
      <c r="E4" s="252" t="s">
        <v>185</v>
      </c>
      <c r="F4" s="251" t="s">
        <v>188</v>
      </c>
      <c r="G4" s="252" t="s">
        <v>185</v>
      </c>
      <c r="H4" s="251" t="s">
        <v>189</v>
      </c>
      <c r="I4" s="252" t="s">
        <v>185</v>
      </c>
      <c r="J4" s="253" t="s">
        <v>190</v>
      </c>
      <c r="K4" s="230"/>
      <c r="L4" s="250" t="s">
        <v>185</v>
      </c>
      <c r="M4" s="251" t="s">
        <v>191</v>
      </c>
      <c r="N4" s="252" t="s">
        <v>185</v>
      </c>
      <c r="O4" s="253" t="s">
        <v>192</v>
      </c>
      <c r="P4" s="252" t="s">
        <v>193</v>
      </c>
      <c r="Q4" s="254" t="s">
        <v>194</v>
      </c>
      <c r="R4" s="252" t="s">
        <v>193</v>
      </c>
      <c r="S4" s="255" t="s">
        <v>195</v>
      </c>
      <c r="T4" s="252" t="s">
        <v>193</v>
      </c>
      <c r="U4" s="256" t="s">
        <v>196</v>
      </c>
      <c r="W4" s="257"/>
      <c r="X4" s="257"/>
    </row>
    <row r="5" spans="1:33" ht="15.6">
      <c r="A5" s="258" t="str">
        <f>IF(ISNA(VLOOKUP("*"&amp;B4&amp;"*",[4]Sheet1!$A$1:$F$93,5,FALSE)),"",IF(VLOOKUP("*"&amp;B4&amp;"*",[4]Sheet1!$A$1:$F$93,5,FALSE)="",MID(VLOOKUP("*"&amp;B4&amp;"*",[4]Sheet1!$A$1:$F$93,4,FALSE),5,8)&amp;VLOOKUP("*"&amp;B4&amp;"*",[4]Sheet1!$A$1:$F$93,6,FALSE),VLOOKUP("*"&amp;B4&amp;"*",[4]Sheet1!$A$1:$F$93,5,FALSE)&amp;VLOOKUP("*"&amp;B4&amp;"*",[4]Sheet1!$A$1:$F$93,6,FALSE)))</f>
        <v/>
      </c>
      <c r="B5" s="259"/>
      <c r="C5" s="258" t="str">
        <f>IF(ISNA(VLOOKUP("*"&amp;D4&amp;"*",[4]Sheet1!$A$1:$F$93,5,FALSE)),"",IF(VLOOKUP("*"&amp;D4&amp;"*",[4]Sheet1!$A$1:$F$93,5,FALSE)="",MID(VLOOKUP("*"&amp;D4&amp;"*",[4]Sheet1!$A$1:$F$93,4,FALSE),5,8)&amp;VLOOKUP("*"&amp;D4&amp;"*",[4]Sheet1!$A$1:$F$93,6,FALSE),VLOOKUP("*"&amp;D4&amp;"*",[4]Sheet1!$A$1:$F$93,5,FALSE)&amp;VLOOKUP("*"&amp;D4&amp;"*",[4]Sheet1!$A$1:$F$93,6,FALSE)))</f>
        <v/>
      </c>
      <c r="D5" s="259"/>
      <c r="E5" s="258" t="str">
        <f>IF(ISNA(VLOOKUP("*"&amp;F4&amp;"*",[4]Sheet1!$A$1:$F$93,5,FALSE)),"",IF(VLOOKUP("*"&amp;F4&amp;"*",[4]Sheet1!$A$1:$F$93,5,FALSE)="",MID(VLOOKUP("*"&amp;F4&amp;"*",[4]Sheet1!$A$1:$F$93,4,FALSE),5,8)&amp;VLOOKUP("*"&amp;F4&amp;"*",[4]Sheet1!$A$1:$F$93,6,FALSE),VLOOKUP("*"&amp;F4&amp;"*",[4]Sheet1!$A$1:$F$93,5,FALSE)&amp;VLOOKUP("*"&amp;F4&amp;"*",[4]Sheet1!$A$1:$F$93,6,FALSE)))</f>
        <v/>
      </c>
      <c r="F5" s="259"/>
      <c r="G5" s="258" t="str">
        <f>IF(ISNA(VLOOKUP("*"&amp;H4&amp;"*",[4]Sheet1!$A$1:$F$93,5,FALSE)),"",IF(VLOOKUP("*"&amp;H4&amp;"*",[4]Sheet1!$A$1:$F$93,5,FALSE)="",MID(VLOOKUP("*"&amp;H4&amp;"*",[4]Sheet1!$A$1:$F$93,4,FALSE),5,8)&amp;VLOOKUP("*"&amp;H4&amp;"*",[4]Sheet1!$A$1:$F$93,6,FALSE),VLOOKUP("*"&amp;H4&amp;"*",[4]Sheet1!$A$1:$F$93,5,FALSE)&amp;VLOOKUP("*"&amp;H4&amp;"*",[4]Sheet1!$A$1:$F$93,6,FALSE)))</f>
        <v/>
      </c>
      <c r="H5" s="259"/>
      <c r="I5" s="258" t="str">
        <f>IF(ISNA(VLOOKUP("*"&amp;J4&amp;"*",[4]Sheet1!$A$1:$F$93,5,FALSE)),"",IF(VLOOKUP("*"&amp;J4&amp;"*",[4]Sheet1!$A$1:$F$93,5,FALSE)="",MID(VLOOKUP("*"&amp;J4&amp;"*",[4]Sheet1!$A$1:$F$93,4,FALSE),5,8)&amp;VLOOKUP("*"&amp;J4&amp;"*",[4]Sheet1!$A$1:$F$93,6,FALSE),VLOOKUP("*"&amp;J4&amp;"*",[4]Sheet1!$A$1:$F$93,5,FALSE)&amp;VLOOKUP("*"&amp;J4&amp;"*",[4]Sheet1!$A$1:$F$93,6,FALSE)))</f>
        <v/>
      </c>
      <c r="J5" s="259"/>
      <c r="K5" s="230"/>
      <c r="L5" s="258" t="str">
        <f>IF(ISNA(VLOOKUP("*"&amp;M4&amp;"*",[4]Sheet1!$A$1:$F$93,5,FALSE)),"",IF(VLOOKUP("*"&amp;M4&amp;"*",[4]Sheet1!$A$1:$F$93,5,FALSE)="",MID(VLOOKUP("*"&amp;M4&amp;"*",[4]Sheet1!$A$1:$F$93,4,FALSE),5,8)&amp;VLOOKUP("*"&amp;M4&amp;"*",[4]Sheet1!$A$1:$F$93,6,FALSE),VLOOKUP("*"&amp;M4&amp;"*",[4]Sheet1!$A$1:$F$93,5,FALSE)&amp;VLOOKUP("*"&amp;M4&amp;"*",[4]Sheet1!$A$1:$F$93,6,FALSE)))</f>
        <v/>
      </c>
      <c r="M5" s="259"/>
      <c r="N5" s="258" t="str">
        <f>IF(ISNA(VLOOKUP("*"&amp;O4&amp;"*",[4]Sheet1!$A$1:$F$93,5,FALSE)),"",IF(VLOOKUP("*"&amp;O4&amp;"*",[4]Sheet1!$A$1:$F$93,5,FALSE)="",MID(VLOOKUP("*"&amp;O4&amp;"*",[4]Sheet1!$A$1:$F$93,4,FALSE),5,8)&amp;VLOOKUP("*"&amp;O4&amp;"*",[4]Sheet1!$A$1:$F$93,6,FALSE),VLOOKUP("*"&amp;O4&amp;"*",[4]Sheet1!$A$1:$F$93,5,FALSE)&amp;VLOOKUP("*"&amp;O4&amp;"*",[4]Sheet1!$A$1:$F$93,6,FALSE)))</f>
        <v/>
      </c>
      <c r="O5" s="259"/>
      <c r="P5" s="258" t="str">
        <f>IF(ISNA(VLOOKUP("*"&amp;Q4&amp;"*",[4]Sheet1!$A$1:$F$93,5,FALSE)),"",IF(VLOOKUP("*"&amp;Q4&amp;"*",[4]Sheet1!$A$1:$F$93,5,FALSE)="",MID(VLOOKUP("*"&amp;Q4&amp;"*",[4]Sheet1!$A$1:$F$93,4,FALSE),5,8)&amp;VLOOKUP("*"&amp;Q4&amp;"*",[4]Sheet1!$A$1:$F$93,6,FALSE),VLOOKUP("*"&amp;Q4&amp;"*",[4]Sheet1!$A$1:$F$93,5,FALSE)&amp;VLOOKUP("*"&amp;Q4&amp;"*",[4]Sheet1!$A$1:$F$93,6,FALSE)))</f>
        <v/>
      </c>
      <c r="Q5" s="259"/>
      <c r="R5" s="258" t="str">
        <f>IF(ISNA(VLOOKUP("*"&amp;S4&amp;"*",[4]Sheet1!$A$1:$F$93,5,FALSE)),"",IF(VLOOKUP("*"&amp;S4&amp;"*",[4]Sheet1!$A$1:$F$93,5,FALSE)="",MID(VLOOKUP("*"&amp;S4&amp;"*",[4]Sheet1!$A$1:$F$93,4,FALSE),5,8)&amp;VLOOKUP("*"&amp;S4&amp;"*",[4]Sheet1!$A$1:$F$93,6,FALSE),VLOOKUP("*"&amp;S4&amp;"*",[4]Sheet1!$A$1:$F$93,5,FALSE)&amp;VLOOKUP("*"&amp;S4&amp;"*",[4]Sheet1!$A$1:$F$93,6,FALSE)))</f>
        <v/>
      </c>
      <c r="S5" s="259"/>
      <c r="T5" s="258" t="str">
        <f>IF(ISNA(VLOOKUP("*"&amp;U4&amp;"*",[4]Sheet1!$A$1:$F$93,5,FALSE)),"",IF(VLOOKUP("*"&amp;U4&amp;"*",[4]Sheet1!$A$1:$F$93,5,FALSE)="",MID(VLOOKUP("*"&amp;U4&amp;"*",[4]Sheet1!$A$1:$F$93,4,FALSE),5,8)&amp;VLOOKUP("*"&amp;U4&amp;"*",[4]Sheet1!$A$1:$F$93,6,FALSE),VLOOKUP("*"&amp;U4&amp;"*",[4]Sheet1!$A$1:$F$93,5,FALSE)&amp;VLOOKUP("*"&amp;U4&amp;"*",[4]Sheet1!$A$1:$F$93,6,FALSE)))</f>
        <v/>
      </c>
      <c r="U5" s="259"/>
      <c r="W5" s="257"/>
      <c r="X5" s="257"/>
    </row>
    <row r="6" spans="1:33" ht="15.6">
      <c r="A6" s="260" t="s">
        <v>197</v>
      </c>
      <c r="B6" s="261"/>
      <c r="C6" s="262" t="s">
        <v>197</v>
      </c>
      <c r="D6" s="263"/>
      <c r="E6" s="264" t="s">
        <v>197</v>
      </c>
      <c r="F6" s="263"/>
      <c r="G6" s="264" t="s">
        <v>197</v>
      </c>
      <c r="H6" s="263"/>
      <c r="I6" s="264" t="s">
        <v>197</v>
      </c>
      <c r="J6" s="265"/>
      <c r="K6" s="230"/>
      <c r="L6" s="260" t="s">
        <v>197</v>
      </c>
      <c r="M6" s="263"/>
      <c r="N6" s="264" t="s">
        <v>197</v>
      </c>
      <c r="O6" s="265"/>
      <c r="P6" s="266" t="s">
        <v>198</v>
      </c>
      <c r="Q6" s="267"/>
      <c r="R6" s="266" t="s">
        <v>198</v>
      </c>
      <c r="S6" s="267"/>
      <c r="T6" s="266" t="s">
        <v>198</v>
      </c>
      <c r="U6" s="268"/>
      <c r="W6" s="257"/>
      <c r="X6" s="269" t="s">
        <v>19</v>
      </c>
      <c r="Y6" s="270" t="s">
        <v>199</v>
      </c>
      <c r="AG6" s="271"/>
    </row>
    <row r="7" spans="1:33" ht="15.6">
      <c r="A7" s="272" t="s">
        <v>182</v>
      </c>
      <c r="B7" s="273"/>
      <c r="C7" s="274" t="s">
        <v>183</v>
      </c>
      <c r="D7" s="275"/>
      <c r="E7" s="276" t="s">
        <v>183</v>
      </c>
      <c r="F7" s="277"/>
      <c r="G7" s="274" t="s">
        <v>184</v>
      </c>
      <c r="H7" s="278"/>
      <c r="I7" s="279" t="s">
        <v>184</v>
      </c>
      <c r="J7" s="280"/>
      <c r="K7" s="230"/>
      <c r="L7" s="281" t="s">
        <v>184</v>
      </c>
      <c r="M7" s="282"/>
      <c r="N7" s="283" t="s">
        <v>184</v>
      </c>
      <c r="O7" s="284"/>
      <c r="P7" s="285"/>
      <c r="Q7" s="286"/>
      <c r="R7" s="287"/>
      <c r="S7" s="288"/>
      <c r="T7" s="287"/>
      <c r="U7" s="289"/>
      <c r="W7" s="257"/>
      <c r="X7" s="290" t="s">
        <v>200</v>
      </c>
      <c r="Y7" s="291" t="s">
        <v>201</v>
      </c>
    </row>
    <row r="8" spans="1:33" ht="15.6">
      <c r="A8" s="250" t="s">
        <v>185</v>
      </c>
      <c r="B8" s="251" t="s">
        <v>202</v>
      </c>
      <c r="C8" s="252" t="s">
        <v>185</v>
      </c>
      <c r="D8" s="251" t="s">
        <v>203</v>
      </c>
      <c r="E8" s="252" t="s">
        <v>185</v>
      </c>
      <c r="F8" s="251" t="s">
        <v>204</v>
      </c>
      <c r="G8" s="252" t="s">
        <v>185</v>
      </c>
      <c r="H8" s="292" t="s">
        <v>205</v>
      </c>
      <c r="I8" s="252" t="s">
        <v>185</v>
      </c>
      <c r="J8" s="293" t="s">
        <v>206</v>
      </c>
      <c r="K8" s="230"/>
      <c r="L8" s="250" t="s">
        <v>185</v>
      </c>
      <c r="M8" s="292" t="s">
        <v>207</v>
      </c>
      <c r="N8" s="252" t="s">
        <v>185</v>
      </c>
      <c r="O8" s="294" t="s">
        <v>208</v>
      </c>
      <c r="P8" s="252" t="s">
        <v>193</v>
      </c>
      <c r="Q8" s="295" t="s">
        <v>209</v>
      </c>
      <c r="R8" s="252" t="s">
        <v>193</v>
      </c>
      <c r="S8" s="295" t="s">
        <v>210</v>
      </c>
      <c r="T8" s="252" t="s">
        <v>193</v>
      </c>
      <c r="U8" s="256" t="s">
        <v>211</v>
      </c>
      <c r="W8" s="257"/>
      <c r="X8" s="269" t="s">
        <v>212</v>
      </c>
      <c r="Y8" s="291" t="s">
        <v>213</v>
      </c>
    </row>
    <row r="9" spans="1:33" ht="15.6">
      <c r="A9" s="258" t="str">
        <f>IF(ISNA(VLOOKUP("*"&amp;B8&amp;"*",[4]Sheet1!$A$1:$F$93,5,FALSE)),"",IF(VLOOKUP("*"&amp;B8&amp;"*",[4]Sheet1!$A$1:$F$93,5,FALSE)="",MID(VLOOKUP("*"&amp;B8&amp;"*",[4]Sheet1!$A$1:$F$93,4,FALSE),5,8)&amp;VLOOKUP("*"&amp;B8&amp;"*",[4]Sheet1!$A$1:$F$93,6,FALSE),VLOOKUP("*"&amp;B8&amp;"*",[4]Sheet1!$A$1:$F$93,5,FALSE)&amp;VLOOKUP("*"&amp;B8&amp;"*",[4]Sheet1!$A$1:$F$93,6,FALSE)))</f>
        <v/>
      </c>
      <c r="B9" s="259"/>
      <c r="C9" s="258" t="str">
        <f>IF(ISNA(VLOOKUP("*"&amp;D8&amp;"*",[4]Sheet1!$A$1:$F$93,5,FALSE)),"",IF(VLOOKUP("*"&amp;D8&amp;"*",[4]Sheet1!$A$1:$F$93,5,FALSE)="",MID(VLOOKUP("*"&amp;D8&amp;"*",[4]Sheet1!$A$1:$F$93,4,FALSE),5,8)&amp;VLOOKUP("*"&amp;D8&amp;"*",[4]Sheet1!$A$1:$F$93,6,FALSE),VLOOKUP("*"&amp;D8&amp;"*",[4]Sheet1!$A$1:$F$93,5,FALSE)&amp;VLOOKUP("*"&amp;D8&amp;"*",[4]Sheet1!$A$1:$F$93,6,FALSE)))</f>
        <v/>
      </c>
      <c r="D9" s="259"/>
      <c r="E9" s="258" t="str">
        <f>IF(ISNA(VLOOKUP("*"&amp;F8&amp;"*",[4]Sheet1!$A$1:$F$93,5,FALSE)),"",IF(VLOOKUP("*"&amp;F8&amp;"*",[4]Sheet1!$A$1:$F$93,5,FALSE)="",MID(VLOOKUP("*"&amp;F8&amp;"*",[4]Sheet1!$A$1:$F$93,4,FALSE),5,8)&amp;VLOOKUP("*"&amp;F8&amp;"*",[4]Sheet1!$A$1:$F$93,6,FALSE),VLOOKUP("*"&amp;F8&amp;"*",[4]Sheet1!$A$1:$F$93,5,FALSE)&amp;VLOOKUP("*"&amp;F8&amp;"*",[4]Sheet1!$A$1:$F$93,6,FALSE)))</f>
        <v/>
      </c>
      <c r="F9" s="259"/>
      <c r="G9" s="258" t="str">
        <f>IF(ISNA(VLOOKUP("*"&amp;H8&amp;"*",[4]Sheet1!$A$1:$F$93,5,FALSE)),"",IF(VLOOKUP("*"&amp;H8&amp;"*",[4]Sheet1!$A$1:$F$93,5,FALSE)="",MID(VLOOKUP("*"&amp;H8&amp;"*",[4]Sheet1!$A$1:$F$93,4,FALSE),5,8)&amp;VLOOKUP("*"&amp;H8&amp;"*",[4]Sheet1!$A$1:$F$93,6,FALSE),VLOOKUP("*"&amp;H8&amp;"*",[4]Sheet1!$A$1:$F$93,5,FALSE)&amp;VLOOKUP("*"&amp;H8&amp;"*",[4]Sheet1!$A$1:$F$93,6,FALSE)))</f>
        <v/>
      </c>
      <c r="H9" s="259"/>
      <c r="I9" s="258" t="str">
        <f>IF(ISNA(VLOOKUP("*"&amp;J8&amp;"*",[4]Sheet1!$A$1:$F$93,5,FALSE)),"",IF(VLOOKUP("*"&amp;J8&amp;"*",[4]Sheet1!$A$1:$F$93,5,FALSE)="",MID(VLOOKUP("*"&amp;J8&amp;"*",[4]Sheet1!$A$1:$F$93,4,FALSE),5,8)&amp;VLOOKUP("*"&amp;J8&amp;"*",[4]Sheet1!$A$1:$F$93,6,FALSE),VLOOKUP("*"&amp;J8&amp;"*",[4]Sheet1!$A$1:$F$93,5,FALSE)&amp;VLOOKUP("*"&amp;J8&amp;"*",[4]Sheet1!$A$1:$F$93,6,FALSE)))</f>
        <v/>
      </c>
      <c r="J9" s="259"/>
      <c r="K9" s="230"/>
      <c r="L9" s="258" t="str">
        <f>IF(ISNA(VLOOKUP("*"&amp;M8&amp;"*",[4]Sheet1!$A$1:$F$93,5,FALSE)),"",IF(VLOOKUP("*"&amp;M8&amp;"*",[4]Sheet1!$A$1:$F$93,5,FALSE)="",MID(VLOOKUP("*"&amp;M8&amp;"*",[4]Sheet1!$A$1:$F$93,4,FALSE),5,8)&amp;VLOOKUP("*"&amp;M8&amp;"*",[4]Sheet1!$A$1:$F$93,6,FALSE),VLOOKUP("*"&amp;M8&amp;"*",[4]Sheet1!$A$1:$F$93,5,FALSE)&amp;VLOOKUP("*"&amp;M8&amp;"*",[4]Sheet1!$A$1:$F$93,6,FALSE)))</f>
        <v/>
      </c>
      <c r="M9" s="259"/>
      <c r="N9" s="258" t="str">
        <f>IF(ISNA(VLOOKUP("*"&amp;O8&amp;"*",[4]Sheet1!$A$1:$F$93,5,FALSE)),"",IF(VLOOKUP("*"&amp;O8&amp;"*",[4]Sheet1!$A$1:$F$93,5,FALSE)="",MID(VLOOKUP("*"&amp;O8&amp;"*",[4]Sheet1!$A$1:$F$93,4,FALSE),5,8)&amp;VLOOKUP("*"&amp;O8&amp;"*",[4]Sheet1!$A$1:$F$93,6,FALSE),VLOOKUP("*"&amp;O8&amp;"*",[4]Sheet1!$A$1:$F$93,5,FALSE)&amp;VLOOKUP("*"&amp;O8&amp;"*",[4]Sheet1!$A$1:$F$93,6,FALSE)))</f>
        <v/>
      </c>
      <c r="O9" s="259"/>
      <c r="P9" s="258" t="str">
        <f>IF(ISNA(VLOOKUP("*"&amp;Q8&amp;"*",[4]Sheet1!$A$1:$F$93,5,FALSE)),"",IF(VLOOKUP("*"&amp;Q8&amp;"*",[4]Sheet1!$A$1:$F$93,5,FALSE)="",MID(VLOOKUP("*"&amp;Q8&amp;"*",[4]Sheet1!$A$1:$F$93,4,FALSE),5,8)&amp;VLOOKUP("*"&amp;Q8&amp;"*",[4]Sheet1!$A$1:$F$93,6,FALSE),VLOOKUP("*"&amp;Q8&amp;"*",[4]Sheet1!$A$1:$F$93,5,FALSE)&amp;VLOOKUP("*"&amp;Q8&amp;"*",[4]Sheet1!$A$1:$F$93,6,FALSE)))</f>
        <v/>
      </c>
      <c r="Q9" s="259"/>
      <c r="R9" s="258" t="str">
        <f>IF(ISNA(VLOOKUP("*"&amp;S8&amp;"*",[4]Sheet1!$A$1:$F$93,5,FALSE)),"",IF(VLOOKUP("*"&amp;S8&amp;"*",[4]Sheet1!$A$1:$F$93,5,FALSE)="",MID(VLOOKUP("*"&amp;S8&amp;"*",[4]Sheet1!$A$1:$F$93,4,FALSE),5,8)&amp;VLOOKUP("*"&amp;S8&amp;"*",[4]Sheet1!$A$1:$F$93,6,FALSE),VLOOKUP("*"&amp;S8&amp;"*",[4]Sheet1!$A$1:$F$93,5,FALSE)&amp;VLOOKUP("*"&amp;S8&amp;"*",[4]Sheet1!$A$1:$F$93,6,FALSE)))</f>
        <v/>
      </c>
      <c r="S9" s="259"/>
      <c r="T9" s="258" t="str">
        <f>IF(ISNA(VLOOKUP("*"&amp;U8&amp;"*",[4]Sheet1!$A$1:$F$93,5,FALSE)),"",IF(VLOOKUP("*"&amp;U8&amp;"*",[4]Sheet1!$A$1:$F$93,5,FALSE)="",MID(VLOOKUP("*"&amp;U8&amp;"*",[4]Sheet1!$A$1:$F$93,4,FALSE),5,8)&amp;VLOOKUP("*"&amp;U8&amp;"*",[4]Sheet1!$A$1:$F$93,6,FALSE),VLOOKUP("*"&amp;U8&amp;"*",[4]Sheet1!$A$1:$F$93,5,FALSE)&amp;VLOOKUP("*"&amp;U8&amp;"*",[4]Sheet1!$A$1:$F$93,6,FALSE)))</f>
        <v/>
      </c>
      <c r="U9" s="259"/>
      <c r="W9" s="257"/>
      <c r="X9" s="290" t="s">
        <v>214</v>
      </c>
      <c r="Y9" s="291" t="s">
        <v>215</v>
      </c>
    </row>
    <row r="10" spans="1:33" ht="15.6">
      <c r="A10" s="260" t="s">
        <v>197</v>
      </c>
      <c r="B10" s="261"/>
      <c r="C10" s="262" t="s">
        <v>197</v>
      </c>
      <c r="D10" s="263"/>
      <c r="E10" s="264" t="s">
        <v>197</v>
      </c>
      <c r="F10" s="263"/>
      <c r="G10" s="264" t="s">
        <v>197</v>
      </c>
      <c r="H10" s="263"/>
      <c r="I10" s="264" t="s">
        <v>197</v>
      </c>
      <c r="J10" s="265"/>
      <c r="K10" s="230"/>
      <c r="L10" s="296" t="s">
        <v>197</v>
      </c>
      <c r="M10" s="288"/>
      <c r="N10" s="262" t="s">
        <v>197</v>
      </c>
      <c r="O10" s="265"/>
      <c r="P10" s="266" t="s">
        <v>198</v>
      </c>
      <c r="Q10" s="267"/>
      <c r="R10" s="266" t="s">
        <v>198</v>
      </c>
      <c r="S10" s="267"/>
      <c r="T10" s="266" t="s">
        <v>198</v>
      </c>
      <c r="U10" s="268"/>
      <c r="W10" s="257"/>
      <c r="X10" s="269" t="s">
        <v>216</v>
      </c>
      <c r="Y10" s="291" t="s">
        <v>217</v>
      </c>
    </row>
    <row r="11" spans="1:33" ht="15.6">
      <c r="A11" s="272" t="s">
        <v>182</v>
      </c>
      <c r="B11" s="273"/>
      <c r="C11" s="283" t="s">
        <v>183</v>
      </c>
      <c r="D11" s="283"/>
      <c r="E11" s="297" t="s">
        <v>218</v>
      </c>
      <c r="F11" s="298"/>
      <c r="G11" s="299" t="s">
        <v>184</v>
      </c>
      <c r="H11" s="300"/>
      <c r="I11" s="297" t="s">
        <v>218</v>
      </c>
      <c r="J11" s="301"/>
      <c r="K11" s="230"/>
      <c r="L11" s="302" t="s">
        <v>219</v>
      </c>
      <c r="M11" s="303"/>
      <c r="N11" s="274" t="s">
        <v>184</v>
      </c>
      <c r="O11" s="304"/>
      <c r="P11" s="287"/>
      <c r="Q11" s="288"/>
      <c r="R11" s="287"/>
      <c r="S11" s="288"/>
      <c r="T11" s="287"/>
      <c r="U11" s="289"/>
      <c r="W11" s="257"/>
      <c r="X11" s="269" t="s">
        <v>220</v>
      </c>
      <c r="Y11" s="291" t="s">
        <v>221</v>
      </c>
    </row>
    <row r="12" spans="1:33" ht="15.6">
      <c r="A12" s="250" t="s">
        <v>185</v>
      </c>
      <c r="B12" s="251" t="s">
        <v>222</v>
      </c>
      <c r="C12" s="252" t="s">
        <v>185</v>
      </c>
      <c r="D12" s="251" t="s">
        <v>223</v>
      </c>
      <c r="E12" s="252" t="s">
        <v>185</v>
      </c>
      <c r="F12" s="251" t="s">
        <v>224</v>
      </c>
      <c r="G12" s="252" t="s">
        <v>185</v>
      </c>
      <c r="H12" s="305" t="s">
        <v>225</v>
      </c>
      <c r="I12" s="252" t="s">
        <v>185</v>
      </c>
      <c r="J12" s="253" t="s">
        <v>226</v>
      </c>
      <c r="K12" s="252"/>
      <c r="L12" s="250" t="s">
        <v>185</v>
      </c>
      <c r="M12" s="292" t="s">
        <v>227</v>
      </c>
      <c r="N12" s="252" t="s">
        <v>185</v>
      </c>
      <c r="O12" s="253" t="s">
        <v>228</v>
      </c>
      <c r="P12" s="252" t="s">
        <v>193</v>
      </c>
      <c r="Q12" s="295" t="s">
        <v>229</v>
      </c>
      <c r="R12" s="252" t="s">
        <v>193</v>
      </c>
      <c r="S12" s="295" t="s">
        <v>230</v>
      </c>
      <c r="T12" s="252" t="s">
        <v>193</v>
      </c>
      <c r="U12" s="256" t="s">
        <v>231</v>
      </c>
      <c r="W12" s="257"/>
      <c r="X12" s="269" t="s">
        <v>232</v>
      </c>
      <c r="Y12" s="291" t="s">
        <v>233</v>
      </c>
    </row>
    <row r="13" spans="1:33" ht="15.6">
      <c r="A13" s="258" t="str">
        <f>IF(ISNA(VLOOKUP("*"&amp;B12&amp;"*",[4]Sheet1!$A$1:$F$93,5,FALSE)),"",IF(VLOOKUP("*"&amp;B12&amp;"*",[4]Sheet1!$A$1:$F$93,5,FALSE)="",MID(VLOOKUP("*"&amp;B12&amp;"*",[4]Sheet1!$A$1:$F$93,4,FALSE),5,8)&amp;VLOOKUP("*"&amp;B12&amp;"*",[4]Sheet1!$A$1:$F$93,6,FALSE),VLOOKUP("*"&amp;B12&amp;"*",[4]Sheet1!$A$1:$F$93,5,FALSE)&amp;VLOOKUP("*"&amp;B12&amp;"*",[4]Sheet1!$A$1:$F$93,6,FALSE)))</f>
        <v/>
      </c>
      <c r="B13" s="259"/>
      <c r="C13" s="258" t="str">
        <f>IF(ISNA(VLOOKUP("*"&amp;D12&amp;"*",[4]Sheet1!$A$1:$F$93,5,FALSE)),"",IF(VLOOKUP("*"&amp;D12&amp;"*",[4]Sheet1!$A$1:$F$93,5,FALSE)="",MID(VLOOKUP("*"&amp;D12&amp;"*",[4]Sheet1!$A$1:$F$93,4,FALSE),5,8)&amp;VLOOKUP("*"&amp;D12&amp;"*",[4]Sheet1!$A$1:$F$93,6,FALSE),VLOOKUP("*"&amp;D12&amp;"*",[4]Sheet1!$A$1:$F$93,5,FALSE)&amp;VLOOKUP("*"&amp;D12&amp;"*",[4]Sheet1!$A$1:$F$93,6,FALSE)))</f>
        <v/>
      </c>
      <c r="D13" s="259"/>
      <c r="E13" s="258" t="str">
        <f>IF(ISNA(VLOOKUP("*"&amp;F12&amp;"*",[4]Sheet1!$A$1:$F$93,5,FALSE)),"",IF(VLOOKUP("*"&amp;F12&amp;"*",[4]Sheet1!$A$1:$F$93,5,FALSE)="",MID(VLOOKUP("*"&amp;F12&amp;"*",[4]Sheet1!$A$1:$F$93,4,FALSE),5,8)&amp;VLOOKUP("*"&amp;F12&amp;"*",[4]Sheet1!$A$1:$F$93,6,FALSE),VLOOKUP("*"&amp;F12&amp;"*",[4]Sheet1!$A$1:$F$93,5,FALSE)&amp;VLOOKUP("*"&amp;F12&amp;"*",[4]Sheet1!$A$1:$F$93,6,FALSE)))</f>
        <v/>
      </c>
      <c r="F13" s="259"/>
      <c r="G13" s="258" t="str">
        <f>IF(ISNA(VLOOKUP("*"&amp;H12&amp;"*",[4]Sheet1!$A$1:$F$93,5,FALSE)),"",IF(VLOOKUP("*"&amp;H12&amp;"*",[4]Sheet1!$A$1:$F$93,5,FALSE)="",MID(VLOOKUP("*"&amp;H12&amp;"*",[4]Sheet1!$A$1:$F$93,4,FALSE),5,8)&amp;VLOOKUP("*"&amp;H12&amp;"*",[4]Sheet1!$A$1:$F$93,6,FALSE),VLOOKUP("*"&amp;H12&amp;"*",[4]Sheet1!$A$1:$F$93,5,FALSE)&amp;VLOOKUP("*"&amp;H12&amp;"*",[4]Sheet1!$A$1:$F$93,6,FALSE)))</f>
        <v/>
      </c>
      <c r="H13" s="259"/>
      <c r="I13" s="258" t="str">
        <f>IF(ISNA(VLOOKUP("*"&amp;J12&amp;"*",[4]Sheet1!$A$1:$F$93,5,FALSE)),"",IF(VLOOKUP("*"&amp;J12&amp;"*",[4]Sheet1!$A$1:$F$93,5,FALSE)="",MID(VLOOKUP("*"&amp;J12&amp;"*",[4]Sheet1!$A$1:$F$93,4,FALSE),5,8)&amp;VLOOKUP("*"&amp;J12&amp;"*",[4]Sheet1!$A$1:$F$93,6,FALSE),VLOOKUP("*"&amp;J12&amp;"*",[4]Sheet1!$A$1:$F$93,5,FALSE)&amp;VLOOKUP("*"&amp;J12&amp;"*",[4]Sheet1!$A$1:$F$93,6,FALSE)))</f>
        <v/>
      </c>
      <c r="J13" s="259"/>
      <c r="K13" s="306"/>
      <c r="L13" s="258" t="str">
        <f>IF(ISNA(VLOOKUP("*"&amp;M12&amp;"*",[4]Sheet1!$A$1:$F$93,5,FALSE)),"",IF(VLOOKUP("*"&amp;M12&amp;"*",[4]Sheet1!$A$1:$F$93,5,FALSE)="",MID(VLOOKUP("*"&amp;M12&amp;"*",[4]Sheet1!$A$1:$F$93,4,FALSE),5,8)&amp;VLOOKUP("*"&amp;M12&amp;"*",[4]Sheet1!$A$1:$F$93,6,FALSE),VLOOKUP("*"&amp;M12&amp;"*",[4]Sheet1!$A$1:$F$93,5,FALSE)&amp;VLOOKUP("*"&amp;M12&amp;"*",[4]Sheet1!$A$1:$F$93,6,FALSE)))</f>
        <v/>
      </c>
      <c r="M13" s="259"/>
      <c r="N13" s="258" t="str">
        <f>IF(ISNA(VLOOKUP("*"&amp;O12&amp;"*",[4]Sheet1!$A$1:$F$93,5,FALSE)),"",IF(VLOOKUP("*"&amp;O12&amp;"*",[4]Sheet1!$A$1:$F$93,5,FALSE)="",MID(VLOOKUP("*"&amp;O12&amp;"*",[4]Sheet1!$A$1:$F$93,4,FALSE),5,8)&amp;VLOOKUP("*"&amp;O12&amp;"*",[4]Sheet1!$A$1:$F$93,6,FALSE),VLOOKUP("*"&amp;O12&amp;"*",[4]Sheet1!$A$1:$F$93,5,FALSE)&amp;VLOOKUP("*"&amp;O12&amp;"*",[4]Sheet1!$A$1:$F$93,6,FALSE)))</f>
        <v/>
      </c>
      <c r="O13" s="259"/>
      <c r="P13" s="258" t="str">
        <f>IF(ISNA(VLOOKUP("*"&amp;Q12&amp;"*",[4]Sheet1!$A$1:$F$93,5,FALSE)),"",IF(VLOOKUP("*"&amp;Q12&amp;"*",[4]Sheet1!$A$1:$F$93,5,FALSE)="",MID(VLOOKUP("*"&amp;Q12&amp;"*",[4]Sheet1!$A$1:$F$93,4,FALSE),5,8)&amp;VLOOKUP("*"&amp;Q12&amp;"*",[4]Sheet1!$A$1:$F$93,6,FALSE),VLOOKUP("*"&amp;Q12&amp;"*",[4]Sheet1!$A$1:$F$93,5,FALSE)&amp;VLOOKUP("*"&amp;Q12&amp;"*",[4]Sheet1!$A$1:$F$93,6,FALSE)))</f>
        <v/>
      </c>
      <c r="Q13" s="259"/>
      <c r="R13" s="258" t="str">
        <f>IF(ISNA(VLOOKUP("*"&amp;S12&amp;"*",[4]Sheet1!$A$1:$F$93,5,FALSE)),"",IF(VLOOKUP("*"&amp;S12&amp;"*",[4]Sheet1!$A$1:$F$93,5,FALSE)="",MID(VLOOKUP("*"&amp;S12&amp;"*",[4]Sheet1!$A$1:$F$93,4,FALSE),5,8)&amp;VLOOKUP("*"&amp;S12&amp;"*",[4]Sheet1!$A$1:$F$93,6,FALSE),VLOOKUP("*"&amp;S12&amp;"*",[4]Sheet1!$A$1:$F$93,5,FALSE)&amp;VLOOKUP("*"&amp;S12&amp;"*",[4]Sheet1!$A$1:$F$93,6,FALSE)))</f>
        <v/>
      </c>
      <c r="S13" s="259"/>
      <c r="T13" s="258" t="str">
        <f>IF(ISNA(VLOOKUP("*"&amp;U12&amp;"*",[4]Sheet1!$A$1:$F$93,5,FALSE)),"",IF(VLOOKUP("*"&amp;U12&amp;"*",[4]Sheet1!$A$1:$F$93,5,FALSE)="",MID(VLOOKUP("*"&amp;U12&amp;"*",[4]Sheet1!$A$1:$F$93,4,FALSE),5,8)&amp;VLOOKUP("*"&amp;U12&amp;"*",[4]Sheet1!$A$1:$F$93,6,FALSE),VLOOKUP("*"&amp;U12&amp;"*",[4]Sheet1!$A$1:$F$93,5,FALSE)&amp;VLOOKUP("*"&amp;U12&amp;"*",[4]Sheet1!$A$1:$F$93,6,FALSE)))</f>
        <v/>
      </c>
      <c r="U13" s="259"/>
      <c r="W13" s="257"/>
      <c r="X13" s="269" t="s">
        <v>234</v>
      </c>
      <c r="Y13" s="291" t="s">
        <v>235</v>
      </c>
    </row>
    <row r="14" spans="1:33" ht="16.2" thickBot="1">
      <c r="A14" s="260" t="s">
        <v>197</v>
      </c>
      <c r="B14" s="261"/>
      <c r="C14" s="262" t="s">
        <v>197</v>
      </c>
      <c r="D14" s="263"/>
      <c r="E14" s="264" t="s">
        <v>197</v>
      </c>
      <c r="F14" s="263"/>
      <c r="G14" s="264" t="s">
        <v>197</v>
      </c>
      <c r="H14" s="263"/>
      <c r="I14" s="264" t="s">
        <v>197</v>
      </c>
      <c r="J14" s="265"/>
      <c r="K14" s="230"/>
      <c r="L14" s="296" t="s">
        <v>197</v>
      </c>
      <c r="M14" s="288"/>
      <c r="N14" s="307" t="s">
        <v>197</v>
      </c>
      <c r="O14" s="308"/>
      <c r="P14" s="266" t="s">
        <v>198</v>
      </c>
      <c r="Q14" s="267"/>
      <c r="R14" s="266" t="s">
        <v>198</v>
      </c>
      <c r="S14" s="267"/>
      <c r="T14" s="266" t="s">
        <v>198</v>
      </c>
      <c r="U14" s="268"/>
      <c r="X14" s="269" t="s">
        <v>37</v>
      </c>
      <c r="Y14" s="291" t="s">
        <v>236</v>
      </c>
    </row>
    <row r="15" spans="1:33" s="318" customFormat="1" ht="15.6">
      <c r="A15" s="272" t="s">
        <v>182</v>
      </c>
      <c r="B15" s="273"/>
      <c r="C15" s="274" t="s">
        <v>183</v>
      </c>
      <c r="D15" s="278"/>
      <c r="E15" s="297" t="s">
        <v>218</v>
      </c>
      <c r="F15" s="298"/>
      <c r="G15" s="273" t="s">
        <v>219</v>
      </c>
      <c r="H15" s="273"/>
      <c r="I15" s="309" t="s">
        <v>218</v>
      </c>
      <c r="J15" s="301"/>
      <c r="K15" s="310"/>
      <c r="L15" s="311" t="s">
        <v>184</v>
      </c>
      <c r="M15" s="312"/>
      <c r="N15" s="313"/>
      <c r="O15" s="314"/>
      <c r="P15" s="315"/>
      <c r="Q15" s="316"/>
      <c r="R15" s="315"/>
      <c r="S15" s="316"/>
      <c r="T15" s="315"/>
      <c r="U15" s="317"/>
      <c r="W15"/>
      <c r="X15" s="269" t="s">
        <v>237</v>
      </c>
      <c r="Y15" s="291" t="s">
        <v>238</v>
      </c>
      <c r="Z15"/>
      <c r="AA15"/>
    </row>
    <row r="16" spans="1:33" ht="15.6">
      <c r="A16" s="250" t="s">
        <v>185</v>
      </c>
      <c r="B16" s="251" t="s">
        <v>239</v>
      </c>
      <c r="C16" s="252" t="s">
        <v>185</v>
      </c>
      <c r="D16" s="251" t="s">
        <v>240</v>
      </c>
      <c r="E16" s="252" t="s">
        <v>185</v>
      </c>
      <c r="F16" s="292" t="s">
        <v>241</v>
      </c>
      <c r="G16" s="252" t="s">
        <v>185</v>
      </c>
      <c r="H16" s="305" t="s">
        <v>242</v>
      </c>
      <c r="I16" s="252" t="s">
        <v>185</v>
      </c>
      <c r="J16" s="293" t="s">
        <v>243</v>
      </c>
      <c r="K16" s="252"/>
      <c r="L16" s="250" t="s">
        <v>185</v>
      </c>
      <c r="M16" s="293" t="s">
        <v>244</v>
      </c>
      <c r="N16" s="250" t="s">
        <v>245</v>
      </c>
      <c r="O16" s="293" t="s">
        <v>246</v>
      </c>
      <c r="P16" s="252" t="s">
        <v>193</v>
      </c>
      <c r="Q16" s="295" t="s">
        <v>247</v>
      </c>
      <c r="R16" s="252" t="s">
        <v>193</v>
      </c>
      <c r="S16" s="295" t="s">
        <v>248</v>
      </c>
      <c r="T16" s="252" t="s">
        <v>193</v>
      </c>
      <c r="U16" s="256" t="s">
        <v>249</v>
      </c>
      <c r="AB16" s="319"/>
    </row>
    <row r="17" spans="1:25" ht="15.6">
      <c r="A17" s="258" t="str">
        <f>IF(ISNA(VLOOKUP("*"&amp;B16&amp;"*",[4]Sheet1!$A$1:$F$93,5,FALSE)),"",IF(VLOOKUP("*"&amp;B16&amp;"*",[4]Sheet1!$A$1:$F$93,5,FALSE)="",MID(VLOOKUP("*"&amp;B16&amp;"*",[4]Sheet1!$A$1:$F$93,4,FALSE),5,8)&amp;VLOOKUP("*"&amp;B16&amp;"*",[4]Sheet1!$A$1:$F$93,6,FALSE),VLOOKUP("*"&amp;B16&amp;"*",[4]Sheet1!$A$1:$F$93,5,FALSE)&amp;VLOOKUP("*"&amp;B16&amp;"*",[4]Sheet1!$A$1:$F$93,6,FALSE)))</f>
        <v/>
      </c>
      <c r="B17" s="259"/>
      <c r="C17" s="258" t="str">
        <f>IF(ISNA(VLOOKUP("*"&amp;D16&amp;"*",[4]Sheet1!$A$1:$F$93,5,FALSE)),"",IF(VLOOKUP("*"&amp;D16&amp;"*",[4]Sheet1!$A$1:$F$93,5,FALSE)="",MID(VLOOKUP("*"&amp;D16&amp;"*",[4]Sheet1!$A$1:$F$93,4,FALSE),5,8)&amp;VLOOKUP("*"&amp;D16&amp;"*",[4]Sheet1!$A$1:$F$93,6,FALSE),VLOOKUP("*"&amp;D16&amp;"*",[4]Sheet1!$A$1:$F$93,5,FALSE)&amp;VLOOKUP("*"&amp;D16&amp;"*",[4]Sheet1!$A$1:$F$93,6,FALSE)))</f>
        <v/>
      </c>
      <c r="D17" s="259"/>
      <c r="E17" s="258" t="str">
        <f>IF(ISNA(VLOOKUP("*"&amp;F16&amp;"*",[4]Sheet1!$A$1:$F$93,5,FALSE)),"",IF(VLOOKUP("*"&amp;F16&amp;"*",[4]Sheet1!$A$1:$F$93,5,FALSE)="",MID(VLOOKUP("*"&amp;F16&amp;"*",[4]Sheet1!$A$1:$F$93,4,FALSE),5,8)&amp;VLOOKUP("*"&amp;F16&amp;"*",[4]Sheet1!$A$1:$F$93,6,FALSE),VLOOKUP("*"&amp;F16&amp;"*",[4]Sheet1!$A$1:$F$93,5,FALSE)&amp;VLOOKUP("*"&amp;F16&amp;"*",[4]Sheet1!$A$1:$F$93,6,FALSE)))</f>
        <v/>
      </c>
      <c r="F17" s="259"/>
      <c r="G17" s="258" t="str">
        <f>IF(ISNA(VLOOKUP("*"&amp;H16&amp;"*",[4]Sheet1!$A$1:$F$93,5,FALSE)),"",IF(VLOOKUP("*"&amp;H16&amp;"*",[4]Sheet1!$A$1:$F$93,5,FALSE)="",MID(VLOOKUP("*"&amp;H16&amp;"*",[4]Sheet1!$A$1:$F$93,4,FALSE),5,8)&amp;VLOOKUP("*"&amp;H16&amp;"*",[4]Sheet1!$A$1:$F$93,6,FALSE),VLOOKUP("*"&amp;H16&amp;"*",[4]Sheet1!$A$1:$F$93,5,FALSE)&amp;VLOOKUP("*"&amp;H16&amp;"*",[4]Sheet1!$A$1:$F$93,6,FALSE)))</f>
        <v/>
      </c>
      <c r="H17" s="259"/>
      <c r="I17" s="258" t="str">
        <f>IF(ISNA(VLOOKUP("*"&amp;J16&amp;"*",[4]Sheet1!$A$1:$F$93,5,FALSE)),"",IF(VLOOKUP("*"&amp;J16&amp;"*",[4]Sheet1!$A$1:$F$93,5,FALSE)="",MID(VLOOKUP("*"&amp;J16&amp;"*",[4]Sheet1!$A$1:$F$93,4,FALSE),5,8)&amp;VLOOKUP("*"&amp;J16&amp;"*",[4]Sheet1!$A$1:$F$93,6,FALSE),VLOOKUP("*"&amp;J16&amp;"*",[4]Sheet1!$A$1:$F$93,5,FALSE)&amp;VLOOKUP("*"&amp;J16&amp;"*",[4]Sheet1!$A$1:$F$93,6,FALSE)))</f>
        <v/>
      </c>
      <c r="J17" s="259"/>
      <c r="K17" s="306"/>
      <c r="L17" s="258" t="str">
        <f>IF(ISNA(VLOOKUP("*"&amp;M16&amp;"*",[4]Sheet1!$A$1:$F$93,5,FALSE)),"",IF(VLOOKUP("*"&amp;M16&amp;"*",[4]Sheet1!$A$1:$F$93,5,FALSE)="",MID(VLOOKUP("*"&amp;M16&amp;"*",[4]Sheet1!$A$1:$F$93,4,FALSE),5,8)&amp;VLOOKUP("*"&amp;M16&amp;"*",[4]Sheet1!$A$1:$F$93,6,FALSE),VLOOKUP("*"&amp;M16&amp;"*",[4]Sheet1!$A$1:$F$93,5,FALSE)&amp;VLOOKUP("*"&amp;M16&amp;"*",[4]Sheet1!$A$1:$F$93,6,FALSE)))</f>
        <v/>
      </c>
      <c r="M17" s="259"/>
      <c r="N17" s="258" t="str">
        <f>IF(ISNA(VLOOKUP("*"&amp;O16&amp;"*",[4]Sheet1!$A$1:$F$93,5,FALSE)),"",IF(VLOOKUP("*"&amp;O16&amp;"*",[4]Sheet1!$A$1:$F$93,5,FALSE)="",MID(VLOOKUP("*"&amp;O16&amp;"*",[4]Sheet1!$A$1:$F$93,4,FALSE),5,8)&amp;VLOOKUP("*"&amp;O16&amp;"*",[4]Sheet1!$A$1:$F$93,6,FALSE),VLOOKUP("*"&amp;O16&amp;"*",[4]Sheet1!$A$1:$F$93,5,FALSE)&amp;VLOOKUP("*"&amp;O16&amp;"*",[4]Sheet1!$A$1:$F$93,6,FALSE)))</f>
        <v/>
      </c>
      <c r="O17" s="259"/>
      <c r="P17" s="258" t="str">
        <f>IF(ISNA(VLOOKUP("*"&amp;Q16&amp;"*",[4]Sheet1!$A$1:$F$93,5,FALSE)),"",IF(VLOOKUP("*"&amp;Q16&amp;"*",[4]Sheet1!$A$1:$F$93,5,FALSE)="",MID(VLOOKUP("*"&amp;Q16&amp;"*",[4]Sheet1!$A$1:$F$93,4,FALSE),5,8)&amp;VLOOKUP("*"&amp;Q16&amp;"*",[4]Sheet1!$A$1:$F$93,6,FALSE),VLOOKUP("*"&amp;Q16&amp;"*",[4]Sheet1!$A$1:$F$93,5,FALSE)&amp;VLOOKUP("*"&amp;Q16&amp;"*",[4]Sheet1!$A$1:$F$93,6,FALSE)))</f>
        <v/>
      </c>
      <c r="Q17" s="259"/>
      <c r="R17" s="258" t="str">
        <f>IF(ISNA(VLOOKUP("*"&amp;S16&amp;"*",[4]Sheet1!$A$1:$F$93,5,FALSE)),"",IF(VLOOKUP("*"&amp;S16&amp;"*",[4]Sheet1!$A$1:$F$93,5,FALSE)="",MID(VLOOKUP("*"&amp;S16&amp;"*",[4]Sheet1!$A$1:$F$93,4,FALSE),5,8)&amp;VLOOKUP("*"&amp;S16&amp;"*",[4]Sheet1!$A$1:$F$93,6,FALSE),VLOOKUP("*"&amp;S16&amp;"*",[4]Sheet1!$A$1:$F$93,5,FALSE)&amp;VLOOKUP("*"&amp;S16&amp;"*",[4]Sheet1!$A$1:$F$93,6,FALSE)))</f>
        <v/>
      </c>
      <c r="S17" s="259"/>
      <c r="T17" s="258" t="str">
        <f>IF(ISNA(VLOOKUP("*"&amp;U16&amp;"*",[4]Sheet1!$A$1:$F$93,5,FALSE)),"",IF(VLOOKUP("*"&amp;U16&amp;"*",[4]Sheet1!$A$1:$F$93,5,FALSE)="",MID(VLOOKUP("*"&amp;U16&amp;"*",[4]Sheet1!$A$1:$F$93,4,FALSE),5,8)&amp;VLOOKUP("*"&amp;U16&amp;"*",[4]Sheet1!$A$1:$F$93,6,FALSE),VLOOKUP("*"&amp;U16&amp;"*",[4]Sheet1!$A$1:$F$93,5,FALSE)&amp;VLOOKUP("*"&amp;U16&amp;"*",[4]Sheet1!$A$1:$F$93,6,FALSE)))</f>
        <v/>
      </c>
      <c r="U17" s="259"/>
    </row>
    <row r="18" spans="1:25" ht="16.2" thickBot="1">
      <c r="A18" s="320" t="s">
        <v>197</v>
      </c>
      <c r="B18" s="321"/>
      <c r="C18" s="307" t="s">
        <v>197</v>
      </c>
      <c r="D18" s="322"/>
      <c r="E18" s="323" t="s">
        <v>197</v>
      </c>
      <c r="F18" s="322"/>
      <c r="G18" s="323" t="s">
        <v>197</v>
      </c>
      <c r="H18" s="322"/>
      <c r="I18" s="323" t="s">
        <v>197</v>
      </c>
      <c r="J18" s="308"/>
      <c r="K18" s="230"/>
      <c r="L18" s="320" t="s">
        <v>197</v>
      </c>
      <c r="M18" s="308"/>
      <c r="N18" s="320" t="s">
        <v>198</v>
      </c>
      <c r="O18" s="324"/>
      <c r="P18" s="323" t="s">
        <v>198</v>
      </c>
      <c r="Q18" s="325"/>
      <c r="R18" s="323" t="s">
        <v>198</v>
      </c>
      <c r="S18" s="325"/>
      <c r="T18" s="323" t="s">
        <v>198</v>
      </c>
      <c r="U18" s="324"/>
    </row>
    <row r="19" spans="1:25" ht="16.2" thickBot="1">
      <c r="A19" s="326"/>
      <c r="B19" s="230"/>
      <c r="C19" s="327"/>
      <c r="D19" s="327"/>
      <c r="E19" s="327"/>
      <c r="F19" s="327"/>
      <c r="G19" s="327"/>
      <c r="H19" s="327"/>
      <c r="I19" s="327"/>
      <c r="J19" s="327"/>
      <c r="K19" s="230"/>
      <c r="L19" s="328"/>
      <c r="M19" s="328"/>
      <c r="N19" s="328"/>
      <c r="O19" s="328"/>
      <c r="P19" s="328"/>
      <c r="Q19" s="328"/>
      <c r="R19" s="230"/>
      <c r="S19" s="230"/>
      <c r="T19" s="230"/>
      <c r="U19" s="230"/>
    </row>
    <row r="20" spans="1:25" s="318" customFormat="1" ht="16.2" thickTop="1">
      <c r="A20" s="329" t="s">
        <v>250</v>
      </c>
      <c r="B20" s="236"/>
      <c r="C20" s="237" t="s">
        <v>250</v>
      </c>
      <c r="D20" s="236"/>
      <c r="E20" s="330" t="s">
        <v>251</v>
      </c>
      <c r="F20" s="331"/>
      <c r="G20" s="234" t="s">
        <v>252</v>
      </c>
      <c r="H20" s="235"/>
      <c r="I20" s="332" t="s">
        <v>253</v>
      </c>
      <c r="J20" s="333"/>
      <c r="K20" s="334"/>
      <c r="L20" s="335"/>
      <c r="M20" s="336"/>
      <c r="N20" s="337"/>
      <c r="O20" s="338"/>
      <c r="P20" s="337"/>
      <c r="Q20" s="339"/>
      <c r="R20" s="340"/>
      <c r="S20" s="341"/>
      <c r="T20" s="342"/>
      <c r="U20" s="343"/>
      <c r="Y20" s="344"/>
    </row>
    <row r="21" spans="1:25" ht="15.6">
      <c r="A21" s="250" t="s">
        <v>185</v>
      </c>
      <c r="B21" s="251" t="s">
        <v>254</v>
      </c>
      <c r="C21" s="252" t="s">
        <v>185</v>
      </c>
      <c r="D21" s="251" t="s">
        <v>255</v>
      </c>
      <c r="E21" s="252" t="s">
        <v>185</v>
      </c>
      <c r="F21" s="251" t="s">
        <v>256</v>
      </c>
      <c r="G21" s="252" t="s">
        <v>185</v>
      </c>
      <c r="H21" s="251" t="s">
        <v>257</v>
      </c>
      <c r="I21" s="252" t="s">
        <v>185</v>
      </c>
      <c r="J21" s="253" t="s">
        <v>258</v>
      </c>
      <c r="K21" s="345"/>
      <c r="L21" s="252" t="s">
        <v>245</v>
      </c>
      <c r="M21" s="346" t="s">
        <v>259</v>
      </c>
      <c r="N21" s="252" t="s">
        <v>245</v>
      </c>
      <c r="O21" s="254" t="s">
        <v>260</v>
      </c>
      <c r="P21" s="252" t="s">
        <v>245</v>
      </c>
      <c r="Q21" s="347" t="s">
        <v>261</v>
      </c>
      <c r="R21" s="252" t="s">
        <v>262</v>
      </c>
      <c r="S21" s="254" t="s">
        <v>263</v>
      </c>
      <c r="T21" s="252" t="s">
        <v>262</v>
      </c>
      <c r="U21" s="348" t="s">
        <v>264</v>
      </c>
    </row>
    <row r="22" spans="1:25" ht="15.6">
      <c r="A22" s="258" t="str">
        <f>IF(ISNA(VLOOKUP("*"&amp;B21&amp;"*",[4]Sheet1!$A$1:$F$93,5,FALSE)),"",IF(VLOOKUP("*"&amp;B21&amp;"*",[4]Sheet1!$A$1:$F$93,5,FALSE)="",MID(VLOOKUP("*"&amp;B21&amp;"*",[4]Sheet1!$A$1:$F$93,4,FALSE),5,8)&amp;VLOOKUP("*"&amp;B21&amp;"*",[4]Sheet1!$A$1:$F$93,6,FALSE),VLOOKUP("*"&amp;B21&amp;"*",[4]Sheet1!$A$1:$F$93,5,FALSE)&amp;VLOOKUP("*"&amp;B21&amp;"*",[4]Sheet1!$A$1:$F$93,6,FALSE)))</f>
        <v/>
      </c>
      <c r="B22" s="259"/>
      <c r="C22" s="258" t="str">
        <f>IF(ISNA(VLOOKUP("*"&amp;D21&amp;"*",[4]Sheet1!$A$1:$F$93,5,FALSE)),"",IF(VLOOKUP("*"&amp;D21&amp;"*",[4]Sheet1!$A$1:$F$93,5,FALSE)="",MID(VLOOKUP("*"&amp;D21&amp;"*",[4]Sheet1!$A$1:$F$93,4,FALSE),5,8)&amp;VLOOKUP("*"&amp;D21&amp;"*",[4]Sheet1!$A$1:$F$93,6,FALSE),VLOOKUP("*"&amp;D21&amp;"*",[4]Sheet1!$A$1:$F$93,5,FALSE)&amp;VLOOKUP("*"&amp;D21&amp;"*",[4]Sheet1!$A$1:$F$93,6,FALSE)))</f>
        <v/>
      </c>
      <c r="D22" s="259"/>
      <c r="E22" s="258" t="str">
        <f>IF(ISNA(VLOOKUP("*"&amp;F21&amp;"*",[4]Sheet1!$A$1:$F$93,5,FALSE)),"",IF(VLOOKUP("*"&amp;F21&amp;"*",[4]Sheet1!$A$1:$F$93,5,FALSE)="",MID(VLOOKUP("*"&amp;F21&amp;"*",[4]Sheet1!$A$1:$F$93,4,FALSE),5,8)&amp;VLOOKUP("*"&amp;F21&amp;"*",[4]Sheet1!$A$1:$F$93,6,FALSE),VLOOKUP("*"&amp;F21&amp;"*",[4]Sheet1!$A$1:$F$93,5,FALSE)&amp;VLOOKUP("*"&amp;F21&amp;"*",[4]Sheet1!$A$1:$F$93,6,FALSE)))</f>
        <v/>
      </c>
      <c r="F22" s="259"/>
      <c r="G22" s="258" t="str">
        <f>IF(ISNA(VLOOKUP("*"&amp;H21&amp;"*",[4]Sheet1!$A$1:$F$93,5,FALSE)),"",IF(VLOOKUP("*"&amp;H21&amp;"*",[4]Sheet1!$A$1:$F$93,5,FALSE)="",MID(VLOOKUP("*"&amp;H21&amp;"*",[4]Sheet1!$A$1:$F$93,4,FALSE),5,8)&amp;VLOOKUP("*"&amp;H21&amp;"*",[4]Sheet1!$A$1:$F$93,6,FALSE),VLOOKUP("*"&amp;H21&amp;"*",[4]Sheet1!$A$1:$F$93,5,FALSE)&amp;VLOOKUP("*"&amp;H21&amp;"*",[4]Sheet1!$A$1:$F$93,6,FALSE)))</f>
        <v/>
      </c>
      <c r="H22" s="259"/>
      <c r="I22" s="258" t="str">
        <f>IF(ISNA(VLOOKUP("*"&amp;J21&amp;"*",[4]Sheet1!$A$1:$F$93,5,FALSE)),"",IF(VLOOKUP("*"&amp;J21&amp;"*",[4]Sheet1!$A$1:$F$93,5,FALSE)="",MID(VLOOKUP("*"&amp;J21&amp;"*",[4]Sheet1!$A$1:$F$93,4,FALSE),5,8)&amp;VLOOKUP("*"&amp;J21&amp;"*",[4]Sheet1!$A$1:$F$93,6,FALSE),VLOOKUP("*"&amp;J21&amp;"*",[4]Sheet1!$A$1:$F$93,5,FALSE)&amp;VLOOKUP("*"&amp;J21&amp;"*",[4]Sheet1!$A$1:$F$93,6,FALSE)))</f>
        <v/>
      </c>
      <c r="J22" s="259"/>
      <c r="K22" s="349"/>
      <c r="L22" s="258" t="str">
        <f>IF(ISNA(VLOOKUP("*"&amp;M21&amp;"*",[4]Sheet1!$A$1:$F$93,5,FALSE)),"",IF(VLOOKUP("*"&amp;M21&amp;"*",[4]Sheet1!$A$1:$F$93,5,FALSE)="",MID(VLOOKUP("*"&amp;M21&amp;"*",[4]Sheet1!$A$1:$F$93,4,FALSE),5,8)&amp;VLOOKUP("*"&amp;M21&amp;"*",[4]Sheet1!$A$1:$F$93,6,FALSE),VLOOKUP("*"&amp;M21&amp;"*",[4]Sheet1!$A$1:$F$93,5,FALSE)&amp;VLOOKUP("*"&amp;M21&amp;"*",[4]Sheet1!$A$1:$F$93,6,FALSE)))</f>
        <v/>
      </c>
      <c r="M22" s="259"/>
      <c r="N22" s="258" t="str">
        <f>IF(ISNA(VLOOKUP("*"&amp;O21&amp;"*",[4]Sheet1!$A$1:$F$93,5,FALSE)),"",IF(VLOOKUP("*"&amp;O21&amp;"*",[4]Sheet1!$A$1:$F$93,5,FALSE)="",MID(VLOOKUP("*"&amp;O21&amp;"*",[4]Sheet1!$A$1:$F$93,4,FALSE),5,8)&amp;VLOOKUP("*"&amp;O21&amp;"*",[4]Sheet1!$A$1:$F$93,6,FALSE),VLOOKUP("*"&amp;O21&amp;"*",[4]Sheet1!$A$1:$F$93,5,FALSE)&amp;VLOOKUP("*"&amp;O21&amp;"*",[4]Sheet1!$A$1:$F$93,6,FALSE)))</f>
        <v/>
      </c>
      <c r="O22" s="259"/>
      <c r="P22" s="258" t="str">
        <f>IF(ISNA(VLOOKUP("*"&amp;Q21&amp;"*",[4]Sheet1!$A$1:$F$93,5,FALSE)),"",IF(VLOOKUP("*"&amp;Q21&amp;"*",[4]Sheet1!$A$1:$F$93,5,FALSE)="",MID(VLOOKUP("*"&amp;Q21&amp;"*",[4]Sheet1!$A$1:$F$93,4,FALSE),5,8)&amp;VLOOKUP("*"&amp;Q21&amp;"*",[4]Sheet1!$A$1:$F$93,6,FALSE),VLOOKUP("*"&amp;Q21&amp;"*",[4]Sheet1!$A$1:$F$93,5,FALSE)&amp;VLOOKUP("*"&amp;Q21&amp;"*",[4]Sheet1!$A$1:$F$93,6,FALSE)))</f>
        <v/>
      </c>
      <c r="Q22" s="259"/>
      <c r="R22" s="258" t="str">
        <f>IF(ISNA(VLOOKUP("*"&amp;S21&amp;"*",[4]Sheet1!$A$1:$F$93,5,FALSE)),"",IF(VLOOKUP("*"&amp;S21&amp;"*",[4]Sheet1!$A$1:$F$93,5,FALSE)="",MID(VLOOKUP("*"&amp;S21&amp;"*",[4]Sheet1!$A$1:$F$93,4,FALSE),5,8)&amp;VLOOKUP("*"&amp;S21&amp;"*",[4]Sheet1!$A$1:$F$93,6,FALSE),VLOOKUP("*"&amp;S21&amp;"*",[4]Sheet1!$A$1:$F$93,5,FALSE)&amp;VLOOKUP("*"&amp;S21&amp;"*",[4]Sheet1!$A$1:$F$93,6,FALSE)))</f>
        <v/>
      </c>
      <c r="S22" s="259"/>
      <c r="T22" s="258" t="str">
        <f>IF(ISNA(VLOOKUP("*"&amp;U21&amp;"*",[4]Sheet1!$A$1:$F$93,5,FALSE)),"",IF(VLOOKUP("*"&amp;U21&amp;"*",[4]Sheet1!$A$1:$F$93,5,FALSE)="",MID(VLOOKUP("*"&amp;U21&amp;"*",[4]Sheet1!$A$1:$F$93,4,FALSE),5,8)&amp;VLOOKUP("*"&amp;U21&amp;"*",[4]Sheet1!$A$1:$F$93,6,FALSE),VLOOKUP("*"&amp;U21&amp;"*",[4]Sheet1!$A$1:$F$93,5,FALSE)&amp;VLOOKUP("*"&amp;U21&amp;"*",[4]Sheet1!$A$1:$F$93,6,FALSE)))</f>
        <v/>
      </c>
      <c r="U22" s="259"/>
    </row>
    <row r="23" spans="1:25" ht="15.6">
      <c r="A23" s="296" t="s">
        <v>197</v>
      </c>
      <c r="B23" s="288"/>
      <c r="C23" s="350" t="s">
        <v>197</v>
      </c>
      <c r="D23" s="288"/>
      <c r="E23" s="264" t="s">
        <v>197</v>
      </c>
      <c r="F23" s="263"/>
      <c r="G23" s="264" t="s">
        <v>197</v>
      </c>
      <c r="H23" s="261"/>
      <c r="I23" s="262" t="s">
        <v>197</v>
      </c>
      <c r="J23" s="265"/>
      <c r="K23" s="345"/>
      <c r="L23" s="266" t="s">
        <v>198</v>
      </c>
      <c r="M23" s="351"/>
      <c r="N23" s="352" t="s">
        <v>198</v>
      </c>
      <c r="O23" s="351"/>
      <c r="P23" s="352" t="s">
        <v>198</v>
      </c>
      <c r="Q23" s="353"/>
      <c r="R23" s="351" t="s">
        <v>265</v>
      </c>
      <c r="S23" s="267"/>
      <c r="T23" s="351" t="s">
        <v>265</v>
      </c>
      <c r="U23" s="354"/>
    </row>
    <row r="24" spans="1:25" s="318" customFormat="1" ht="15.6">
      <c r="A24" s="355" t="s">
        <v>251</v>
      </c>
      <c r="B24" s="356"/>
      <c r="C24" s="357" t="s">
        <v>250</v>
      </c>
      <c r="D24" s="358"/>
      <c r="E24" s="359" t="s">
        <v>251</v>
      </c>
      <c r="F24" s="360"/>
      <c r="G24" s="361" t="s">
        <v>218</v>
      </c>
      <c r="H24" s="362"/>
      <c r="I24" s="363" t="s">
        <v>218</v>
      </c>
      <c r="J24" s="364"/>
      <c r="K24" s="334"/>
      <c r="L24" s="335"/>
      <c r="M24" s="336"/>
      <c r="N24" s="365"/>
      <c r="O24" s="338"/>
      <c r="P24" s="365"/>
      <c r="Q24" s="339"/>
      <c r="R24" s="365"/>
      <c r="S24" s="338"/>
      <c r="T24" s="365"/>
      <c r="U24" s="366"/>
      <c r="Y24" s="344"/>
    </row>
    <row r="25" spans="1:25" ht="15.6">
      <c r="A25" s="250" t="s">
        <v>185</v>
      </c>
      <c r="B25" s="251" t="s">
        <v>266</v>
      </c>
      <c r="C25" s="252" t="s">
        <v>185</v>
      </c>
      <c r="D25" s="295" t="s">
        <v>267</v>
      </c>
      <c r="E25" s="252" t="s">
        <v>185</v>
      </c>
      <c r="F25" s="295" t="s">
        <v>268</v>
      </c>
      <c r="G25" s="252" t="s">
        <v>185</v>
      </c>
      <c r="H25" s="252" t="s">
        <v>269</v>
      </c>
      <c r="I25" s="367" t="s">
        <v>185</v>
      </c>
      <c r="J25" s="253" t="s">
        <v>270</v>
      </c>
      <c r="K25" s="345"/>
      <c r="L25" s="252" t="s">
        <v>245</v>
      </c>
      <c r="M25" s="368" t="s">
        <v>271</v>
      </c>
      <c r="N25" s="252" t="s">
        <v>245</v>
      </c>
      <c r="O25" s="254" t="s">
        <v>272</v>
      </c>
      <c r="P25" s="252" t="s">
        <v>245</v>
      </c>
      <c r="Q25" s="347" t="s">
        <v>273</v>
      </c>
      <c r="R25" s="252" t="s">
        <v>262</v>
      </c>
      <c r="S25" s="254" t="s">
        <v>274</v>
      </c>
      <c r="T25" s="252" t="s">
        <v>262</v>
      </c>
      <c r="U25" s="348" t="s">
        <v>275</v>
      </c>
    </row>
    <row r="26" spans="1:25" ht="15.6">
      <c r="A26" s="258" t="str">
        <f>IF(ISNA(VLOOKUP("*"&amp;B25&amp;"*",[4]Sheet1!$A$1:$F$93,5,FALSE)),"",IF(VLOOKUP("*"&amp;B25&amp;"*",[4]Sheet1!$A$1:$F$93,5,FALSE)="",MID(VLOOKUP("*"&amp;B25&amp;"*",[4]Sheet1!$A$1:$F$93,4,FALSE),5,8)&amp;VLOOKUP("*"&amp;B25&amp;"*",[4]Sheet1!$A$1:$F$93,6,FALSE),VLOOKUP("*"&amp;B25&amp;"*",[4]Sheet1!$A$1:$F$93,5,FALSE)&amp;VLOOKUP("*"&amp;B25&amp;"*",[4]Sheet1!$A$1:$F$93,6,FALSE)))</f>
        <v/>
      </c>
      <c r="B26" s="259"/>
      <c r="C26" s="258" t="str">
        <f>IF(ISNA(VLOOKUP("*"&amp;D25&amp;"*",[4]Sheet1!$A$1:$F$93,5,FALSE)),"",IF(VLOOKUP("*"&amp;D25&amp;"*",[4]Sheet1!$A$1:$F$93,5,FALSE)="",MID(VLOOKUP("*"&amp;D25&amp;"*",[4]Sheet1!$A$1:$F$93,4,FALSE),5,8)&amp;VLOOKUP("*"&amp;D25&amp;"*",[4]Sheet1!$A$1:$F$93,6,FALSE),VLOOKUP("*"&amp;D25&amp;"*",[4]Sheet1!$A$1:$F$93,5,FALSE)&amp;VLOOKUP("*"&amp;D25&amp;"*",[4]Sheet1!$A$1:$F$93,6,FALSE)))</f>
        <v/>
      </c>
      <c r="D26" s="259"/>
      <c r="E26" s="258" t="str">
        <f>IF(ISNA(VLOOKUP("*"&amp;F25&amp;"*",[4]Sheet1!$A$1:$F$93,5,FALSE)),"",IF(VLOOKUP("*"&amp;F25&amp;"*",[4]Sheet1!$A$1:$F$93,5,FALSE)="",MID(VLOOKUP("*"&amp;F25&amp;"*",[4]Sheet1!$A$1:$F$93,4,FALSE),5,8)&amp;VLOOKUP("*"&amp;F25&amp;"*",[4]Sheet1!$A$1:$F$93,6,FALSE),VLOOKUP("*"&amp;F25&amp;"*",[4]Sheet1!$A$1:$F$93,5,FALSE)&amp;VLOOKUP("*"&amp;F25&amp;"*",[4]Sheet1!$A$1:$F$93,6,FALSE)))</f>
        <v/>
      </c>
      <c r="F26" s="259"/>
      <c r="G26" s="258" t="str">
        <f>IF(ISNA(VLOOKUP("*"&amp;H25&amp;"*",[4]Sheet1!$A$1:$F$93,5,FALSE)),"",IF(VLOOKUP("*"&amp;H25&amp;"*",[4]Sheet1!$A$1:$F$93,5,FALSE)="",MID(VLOOKUP("*"&amp;H25&amp;"*",[4]Sheet1!$A$1:$F$93,4,FALSE),5,8)&amp;VLOOKUP("*"&amp;H25&amp;"*",[4]Sheet1!$A$1:$F$93,6,FALSE),VLOOKUP("*"&amp;H25&amp;"*",[4]Sheet1!$A$1:$F$93,5,FALSE)&amp;VLOOKUP("*"&amp;H25&amp;"*",[4]Sheet1!$A$1:$F$93,6,FALSE)))</f>
        <v/>
      </c>
      <c r="H26" s="259"/>
      <c r="I26" s="258" t="str">
        <f>IF(ISNA(VLOOKUP("*"&amp;J25&amp;"*",[4]Sheet1!$A$1:$F$93,5,FALSE)),"",IF(VLOOKUP("*"&amp;J25&amp;"*",[4]Sheet1!$A$1:$F$93,5,FALSE)="",MID(VLOOKUP("*"&amp;J25&amp;"*",[4]Sheet1!$A$1:$F$93,4,FALSE),5,8)&amp;VLOOKUP("*"&amp;J25&amp;"*",[4]Sheet1!$A$1:$F$93,6,FALSE),VLOOKUP("*"&amp;J25&amp;"*",[4]Sheet1!$A$1:$F$93,5,FALSE)&amp;VLOOKUP("*"&amp;J25&amp;"*",[4]Sheet1!$A$1:$F$93,6,FALSE)))</f>
        <v/>
      </c>
      <c r="J26" s="259"/>
      <c r="K26" s="349"/>
      <c r="L26" s="258" t="str">
        <f>IF(ISNA(VLOOKUP("*"&amp;M25&amp;"*",[4]Sheet1!$A$1:$F$93,5,FALSE)),"",IF(VLOOKUP("*"&amp;M25&amp;"*",[4]Sheet1!$A$1:$F$93,5,FALSE)="",MID(VLOOKUP("*"&amp;M25&amp;"*",[4]Sheet1!$A$1:$F$93,4,FALSE),5,8)&amp;VLOOKUP("*"&amp;M25&amp;"*",[4]Sheet1!$A$1:$F$93,6,FALSE),VLOOKUP("*"&amp;M25&amp;"*",[4]Sheet1!$A$1:$F$93,5,FALSE)&amp;VLOOKUP("*"&amp;M25&amp;"*",[4]Sheet1!$A$1:$F$93,6,FALSE)))</f>
        <v/>
      </c>
      <c r="M26" s="259"/>
      <c r="N26" s="258" t="str">
        <f>IF(ISNA(VLOOKUP("*"&amp;O25&amp;"*",[4]Sheet1!$A$1:$F$93,5,FALSE)),"",IF(VLOOKUP("*"&amp;O25&amp;"*",[4]Sheet1!$A$1:$F$93,5,FALSE)="",MID(VLOOKUP("*"&amp;O25&amp;"*",[4]Sheet1!$A$1:$F$93,4,FALSE),5,8)&amp;VLOOKUP("*"&amp;O25&amp;"*",[4]Sheet1!$A$1:$F$93,6,FALSE),VLOOKUP("*"&amp;O25&amp;"*",[4]Sheet1!$A$1:$F$93,5,FALSE)&amp;VLOOKUP("*"&amp;O25&amp;"*",[4]Sheet1!$A$1:$F$93,6,FALSE)))</f>
        <v/>
      </c>
      <c r="O26" s="259"/>
      <c r="P26" s="258" t="str">
        <f>IF(ISNA(VLOOKUP("*"&amp;Q25&amp;"*",[4]Sheet1!$A$1:$F$93,5,FALSE)),"",IF(VLOOKUP("*"&amp;Q25&amp;"*",[4]Sheet1!$A$1:$F$93,5,FALSE)="",MID(VLOOKUP("*"&amp;Q25&amp;"*",[4]Sheet1!$A$1:$F$93,4,FALSE),5,8)&amp;VLOOKUP("*"&amp;Q25&amp;"*",[4]Sheet1!$A$1:$F$93,6,FALSE),VLOOKUP("*"&amp;Q25&amp;"*",[4]Sheet1!$A$1:$F$93,5,FALSE)&amp;VLOOKUP("*"&amp;Q25&amp;"*",[4]Sheet1!$A$1:$F$93,6,FALSE)))</f>
        <v/>
      </c>
      <c r="Q26" s="259"/>
      <c r="R26" s="258" t="str">
        <f>IF(ISNA(VLOOKUP("*"&amp;S25&amp;"*",[4]Sheet1!$A$1:$F$93,5,FALSE)),"",IF(VLOOKUP("*"&amp;S25&amp;"*",[4]Sheet1!$A$1:$F$93,5,FALSE)="",MID(VLOOKUP("*"&amp;S25&amp;"*",[4]Sheet1!$A$1:$F$93,4,FALSE),5,8)&amp;VLOOKUP("*"&amp;S25&amp;"*",[4]Sheet1!$A$1:$F$93,6,FALSE),VLOOKUP("*"&amp;S25&amp;"*",[4]Sheet1!$A$1:$F$93,5,FALSE)&amp;VLOOKUP("*"&amp;S25&amp;"*",[4]Sheet1!$A$1:$F$93,6,FALSE)))</f>
        <v/>
      </c>
      <c r="S26" s="259"/>
      <c r="T26" s="258" t="str">
        <f>IF(ISNA(VLOOKUP("*"&amp;U25&amp;"*",[4]Sheet1!$A$1:$F$93,5,FALSE)),"",IF(VLOOKUP("*"&amp;U25&amp;"*",[4]Sheet1!$A$1:$F$93,5,FALSE)="",MID(VLOOKUP("*"&amp;U25&amp;"*",[4]Sheet1!$A$1:$F$93,4,FALSE),5,8)&amp;VLOOKUP("*"&amp;U25&amp;"*",[4]Sheet1!$A$1:$F$93,6,FALSE),VLOOKUP("*"&amp;U25&amp;"*",[4]Sheet1!$A$1:$F$93,5,FALSE)&amp;VLOOKUP("*"&amp;U25&amp;"*",[4]Sheet1!$A$1:$F$93,6,FALSE)))</f>
        <v/>
      </c>
      <c r="U26" s="259"/>
    </row>
    <row r="27" spans="1:25" ht="15.6">
      <c r="A27" s="260" t="s">
        <v>197</v>
      </c>
      <c r="B27" s="261"/>
      <c r="C27" s="262" t="s">
        <v>197</v>
      </c>
      <c r="D27" s="263"/>
      <c r="E27" s="264" t="s">
        <v>197</v>
      </c>
      <c r="F27" s="263"/>
      <c r="G27" s="264" t="s">
        <v>197</v>
      </c>
      <c r="H27" s="263"/>
      <c r="I27" s="350" t="s">
        <v>197</v>
      </c>
      <c r="J27" s="369"/>
      <c r="K27" s="345"/>
      <c r="L27" s="266" t="s">
        <v>198</v>
      </c>
      <c r="M27" s="351"/>
      <c r="N27" s="352" t="s">
        <v>198</v>
      </c>
      <c r="O27" s="351"/>
      <c r="P27" s="352" t="s">
        <v>198</v>
      </c>
      <c r="Q27" s="353"/>
      <c r="R27" s="351" t="s">
        <v>265</v>
      </c>
      <c r="S27" s="267"/>
      <c r="T27" s="351" t="s">
        <v>265</v>
      </c>
      <c r="U27" s="354"/>
    </row>
    <row r="28" spans="1:25" s="380" customFormat="1" ht="15.6">
      <c r="A28" s="370" t="s">
        <v>218</v>
      </c>
      <c r="B28" s="298"/>
      <c r="C28" s="297" t="s">
        <v>218</v>
      </c>
      <c r="D28" s="298"/>
      <c r="E28" s="371" t="s">
        <v>184</v>
      </c>
      <c r="F28" s="372"/>
      <c r="G28" s="371" t="s">
        <v>184</v>
      </c>
      <c r="H28" s="372"/>
      <c r="I28" s="363" t="s">
        <v>218</v>
      </c>
      <c r="J28" s="364"/>
      <c r="K28" s="373"/>
      <c r="L28" s="374"/>
      <c r="M28" s="375"/>
      <c r="N28" s="376"/>
      <c r="O28" s="377"/>
      <c r="P28" s="376"/>
      <c r="Q28" s="378"/>
      <c r="R28" s="376"/>
      <c r="S28" s="377"/>
      <c r="T28" s="376"/>
      <c r="U28" s="379"/>
      <c r="W28" s="248"/>
      <c r="Y28" s="381"/>
    </row>
    <row r="29" spans="1:25" ht="15.6">
      <c r="A29" s="250" t="s">
        <v>185</v>
      </c>
      <c r="B29" s="251" t="s">
        <v>276</v>
      </c>
      <c r="C29" s="252" t="s">
        <v>185</v>
      </c>
      <c r="D29" s="251" t="s">
        <v>277</v>
      </c>
      <c r="E29" s="252" t="s">
        <v>185</v>
      </c>
      <c r="F29" s="295" t="s">
        <v>278</v>
      </c>
      <c r="G29" s="252" t="s">
        <v>185</v>
      </c>
      <c r="H29" s="251" t="s">
        <v>279</v>
      </c>
      <c r="I29" s="252" t="s">
        <v>185</v>
      </c>
      <c r="J29" s="253" t="s">
        <v>280</v>
      </c>
      <c r="K29" s="345"/>
      <c r="L29" s="252" t="s">
        <v>245</v>
      </c>
      <c r="M29" s="382" t="s">
        <v>281</v>
      </c>
      <c r="N29" s="252" t="s">
        <v>245</v>
      </c>
      <c r="O29" s="254" t="s">
        <v>282</v>
      </c>
      <c r="P29" s="252" t="s">
        <v>245</v>
      </c>
      <c r="Q29" s="347" t="s">
        <v>283</v>
      </c>
      <c r="R29" s="252" t="s">
        <v>262</v>
      </c>
      <c r="S29" s="254" t="s">
        <v>284</v>
      </c>
      <c r="T29" s="252" t="s">
        <v>262</v>
      </c>
      <c r="U29" s="348" t="s">
        <v>285</v>
      </c>
    </row>
    <row r="30" spans="1:25" ht="15.6">
      <c r="A30" s="258" t="str">
        <f>IF(ISNA(VLOOKUP("*"&amp;B29&amp;"*",[4]Sheet1!$A$1:$F$93,5,FALSE)),"",IF(VLOOKUP("*"&amp;B29&amp;"*",[4]Sheet1!$A$1:$F$93,5,FALSE)="",MID(VLOOKUP("*"&amp;B29&amp;"*",[4]Sheet1!$A$1:$F$93,4,FALSE),5,8)&amp;VLOOKUP("*"&amp;B29&amp;"*",[4]Sheet1!$A$1:$F$93,6,FALSE),VLOOKUP("*"&amp;B29&amp;"*",[4]Sheet1!$A$1:$F$93,5,FALSE)&amp;VLOOKUP("*"&amp;B29&amp;"*",[4]Sheet1!$A$1:$F$93,6,FALSE)))</f>
        <v/>
      </c>
      <c r="B30" s="259"/>
      <c r="C30" s="258" t="str">
        <f>IF(ISNA(VLOOKUP("*"&amp;D29&amp;"*",[4]Sheet1!$A$1:$F$93,5,FALSE)),"",IF(VLOOKUP("*"&amp;D29&amp;"*",[4]Sheet1!$A$1:$F$93,5,FALSE)="",MID(VLOOKUP("*"&amp;D29&amp;"*",[4]Sheet1!$A$1:$F$93,4,FALSE),5,8)&amp;VLOOKUP("*"&amp;D29&amp;"*",[4]Sheet1!$A$1:$F$93,6,FALSE),VLOOKUP("*"&amp;D29&amp;"*",[4]Sheet1!$A$1:$F$93,5,FALSE)&amp;VLOOKUP("*"&amp;D29&amp;"*",[4]Sheet1!$A$1:$F$93,6,FALSE)))</f>
        <v/>
      </c>
      <c r="D30" s="259"/>
      <c r="E30" s="258" t="str">
        <f>IF(ISNA(VLOOKUP("*"&amp;F29&amp;"*",[4]Sheet1!$A$1:$F$93,5,FALSE)),"",IF(VLOOKUP("*"&amp;F29&amp;"*",[4]Sheet1!$A$1:$F$93,5,FALSE)="",MID(VLOOKUP("*"&amp;F29&amp;"*",[4]Sheet1!$A$1:$F$93,4,FALSE),5,8)&amp;VLOOKUP("*"&amp;F29&amp;"*",[4]Sheet1!$A$1:$F$93,6,FALSE),VLOOKUP("*"&amp;F29&amp;"*",[4]Sheet1!$A$1:$F$93,5,FALSE)&amp;VLOOKUP("*"&amp;F29&amp;"*",[4]Sheet1!$A$1:$F$93,6,FALSE)))</f>
        <v/>
      </c>
      <c r="F30" s="259"/>
      <c r="G30" s="258" t="str">
        <f>IF(ISNA(VLOOKUP("*"&amp;H29&amp;"*",[4]Sheet1!$A$1:$F$93,5,FALSE)),"",IF(VLOOKUP("*"&amp;H29&amp;"*",[4]Sheet1!$A$1:$F$93,5,FALSE)="",MID(VLOOKUP("*"&amp;H29&amp;"*",[4]Sheet1!$A$1:$F$93,4,FALSE),5,8)&amp;VLOOKUP("*"&amp;H29&amp;"*",[4]Sheet1!$A$1:$F$93,6,FALSE),VLOOKUP("*"&amp;H29&amp;"*",[4]Sheet1!$A$1:$F$93,5,FALSE)&amp;VLOOKUP("*"&amp;H29&amp;"*",[4]Sheet1!$A$1:$F$93,6,FALSE)))</f>
        <v/>
      </c>
      <c r="H30" s="259"/>
      <c r="I30" s="258" t="str">
        <f>IF(ISNA(VLOOKUP("*"&amp;J29&amp;"*",[4]Sheet1!$A$1:$F$93,5,FALSE)),"",IF(VLOOKUP("*"&amp;J29&amp;"*",[4]Sheet1!$A$1:$F$93,5,FALSE)="",MID(VLOOKUP("*"&amp;J29&amp;"*",[4]Sheet1!$A$1:$F$93,4,FALSE),5,8)&amp;VLOOKUP("*"&amp;J29&amp;"*",[4]Sheet1!$A$1:$F$93,6,FALSE),VLOOKUP("*"&amp;J29&amp;"*",[4]Sheet1!$A$1:$F$93,5,FALSE)&amp;VLOOKUP("*"&amp;J29&amp;"*",[4]Sheet1!$A$1:$F$93,6,FALSE)))</f>
        <v/>
      </c>
      <c r="J30" s="259"/>
      <c r="K30" s="349"/>
      <c r="L30" s="258" t="str">
        <f>IF(ISNA(VLOOKUP("*"&amp;M29&amp;"*",[4]Sheet1!$A$1:$F$93,5,FALSE)),"",IF(VLOOKUP("*"&amp;M29&amp;"*",[4]Sheet1!$A$1:$F$93,5,FALSE)="",MID(VLOOKUP("*"&amp;M29&amp;"*",[4]Sheet1!$A$1:$F$93,4,FALSE),5,8)&amp;VLOOKUP("*"&amp;M29&amp;"*",[4]Sheet1!$A$1:$F$93,6,FALSE),VLOOKUP("*"&amp;M29&amp;"*",[4]Sheet1!$A$1:$F$93,5,FALSE)&amp;VLOOKUP("*"&amp;M29&amp;"*",[4]Sheet1!$A$1:$F$93,6,FALSE)))</f>
        <v/>
      </c>
      <c r="M30" s="259"/>
      <c r="N30" s="258" t="str">
        <f>IF(ISNA(VLOOKUP("*"&amp;O29&amp;"*",[4]Sheet1!$A$1:$F$93,5,FALSE)),"",IF(VLOOKUP("*"&amp;O29&amp;"*",[4]Sheet1!$A$1:$F$93,5,FALSE)="",MID(VLOOKUP("*"&amp;O29&amp;"*",[4]Sheet1!$A$1:$F$93,4,FALSE),5,8)&amp;VLOOKUP("*"&amp;O29&amp;"*",[4]Sheet1!$A$1:$F$93,6,FALSE),VLOOKUP("*"&amp;O29&amp;"*",[4]Sheet1!$A$1:$F$93,5,FALSE)&amp;VLOOKUP("*"&amp;O29&amp;"*",[4]Sheet1!$A$1:$F$93,6,FALSE)))</f>
        <v/>
      </c>
      <c r="O30" s="259"/>
      <c r="P30" s="258" t="str">
        <f>IF(ISNA(VLOOKUP("*"&amp;Q29&amp;"*",[4]Sheet1!$A$1:$F$93,5,FALSE)),"",IF(VLOOKUP("*"&amp;Q29&amp;"*",[4]Sheet1!$A$1:$F$93,5,FALSE)="",MID(VLOOKUP("*"&amp;Q29&amp;"*",[4]Sheet1!$A$1:$F$93,4,FALSE),5,8)&amp;VLOOKUP("*"&amp;Q29&amp;"*",[4]Sheet1!$A$1:$F$93,6,FALSE),VLOOKUP("*"&amp;Q29&amp;"*",[4]Sheet1!$A$1:$F$93,5,FALSE)&amp;VLOOKUP("*"&amp;Q29&amp;"*",[4]Sheet1!$A$1:$F$93,6,FALSE)))</f>
        <v/>
      </c>
      <c r="Q30" s="259"/>
      <c r="R30" s="258" t="str">
        <f>IF(ISNA(VLOOKUP("*"&amp;S29&amp;"*",[4]Sheet1!$A$1:$F$93,5,FALSE)),"",IF(VLOOKUP("*"&amp;S29&amp;"*",[4]Sheet1!$A$1:$F$93,5,FALSE)="",MID(VLOOKUP("*"&amp;S29&amp;"*",[4]Sheet1!$A$1:$F$93,4,FALSE),5,8)&amp;VLOOKUP("*"&amp;S29&amp;"*",[4]Sheet1!$A$1:$F$93,6,FALSE),VLOOKUP("*"&amp;S29&amp;"*",[4]Sheet1!$A$1:$F$93,5,FALSE)&amp;VLOOKUP("*"&amp;S29&amp;"*",[4]Sheet1!$A$1:$F$93,6,FALSE)))</f>
        <v/>
      </c>
      <c r="S30" s="259"/>
      <c r="T30" s="258" t="str">
        <f>IF(ISNA(VLOOKUP("*"&amp;U29&amp;"*",[4]Sheet1!$A$1:$F$93,5,FALSE)),"",IF(VLOOKUP("*"&amp;U29&amp;"*",[4]Sheet1!$A$1:$F$93,5,FALSE)="",MID(VLOOKUP("*"&amp;U29&amp;"*",[4]Sheet1!$A$1:$F$93,4,FALSE),5,8)&amp;VLOOKUP("*"&amp;U29&amp;"*",[4]Sheet1!$A$1:$F$93,6,FALSE),VLOOKUP("*"&amp;U29&amp;"*",[4]Sheet1!$A$1:$F$93,5,FALSE)&amp;VLOOKUP("*"&amp;U29&amp;"*",[4]Sheet1!$A$1:$F$93,6,FALSE)))</f>
        <v/>
      </c>
      <c r="U30" s="259"/>
    </row>
    <row r="31" spans="1:25" ht="16.2" thickBot="1">
      <c r="A31" s="320" t="s">
        <v>197</v>
      </c>
      <c r="B31" s="322"/>
      <c r="C31" s="323" t="s">
        <v>197</v>
      </c>
      <c r="D31" s="322"/>
      <c r="E31" s="323" t="s">
        <v>197</v>
      </c>
      <c r="F31" s="322"/>
      <c r="G31" s="307" t="s">
        <v>197</v>
      </c>
      <c r="H31" s="322"/>
      <c r="I31" s="383" t="s">
        <v>197</v>
      </c>
      <c r="J31" s="324"/>
      <c r="K31" s="349"/>
      <c r="L31" s="384" t="s">
        <v>198</v>
      </c>
      <c r="M31" s="385"/>
      <c r="N31" s="386" t="s">
        <v>198</v>
      </c>
      <c r="O31" s="387"/>
      <c r="P31" s="384" t="s">
        <v>198</v>
      </c>
      <c r="Q31" s="388"/>
      <c r="R31" s="389" t="s">
        <v>265</v>
      </c>
      <c r="S31" s="390"/>
      <c r="T31" s="389" t="s">
        <v>265</v>
      </c>
      <c r="U31" s="391"/>
    </row>
    <row r="32" spans="1:25" ht="31.5" customHeight="1">
      <c r="A32" s="392" t="s">
        <v>286</v>
      </c>
      <c r="B32" s="393"/>
      <c r="C32" s="393"/>
      <c r="D32" s="393"/>
      <c r="E32" s="393"/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</row>
  </sheetData>
  <mergeCells count="218">
    <mergeCell ref="N31:O31"/>
    <mergeCell ref="P31:Q31"/>
    <mergeCell ref="R31:S31"/>
    <mergeCell ref="T31:U31"/>
    <mergeCell ref="A32:U32"/>
    <mergeCell ref="N30:O30"/>
    <mergeCell ref="P30:Q30"/>
    <mergeCell ref="R30:S30"/>
    <mergeCell ref="T30:U30"/>
    <mergeCell ref="A31:B31"/>
    <mergeCell ref="C31:D31"/>
    <mergeCell ref="E31:F31"/>
    <mergeCell ref="G31:H31"/>
    <mergeCell ref="I31:J31"/>
    <mergeCell ref="L31:M31"/>
    <mergeCell ref="N28:O28"/>
    <mergeCell ref="P28:Q28"/>
    <mergeCell ref="R28:S28"/>
    <mergeCell ref="T28:U28"/>
    <mergeCell ref="A30:B30"/>
    <mergeCell ref="C30:D30"/>
    <mergeCell ref="E30:F30"/>
    <mergeCell ref="G30:H30"/>
    <mergeCell ref="I30:J30"/>
    <mergeCell ref="L30:M30"/>
    <mergeCell ref="N27:O27"/>
    <mergeCell ref="P27:Q27"/>
    <mergeCell ref="R27:S27"/>
    <mergeCell ref="T27:U27"/>
    <mergeCell ref="A28:B28"/>
    <mergeCell ref="C28:D28"/>
    <mergeCell ref="E28:F28"/>
    <mergeCell ref="G28:H28"/>
    <mergeCell ref="I28:J28"/>
    <mergeCell ref="L28:M28"/>
    <mergeCell ref="N26:O26"/>
    <mergeCell ref="P26:Q26"/>
    <mergeCell ref="R26:S26"/>
    <mergeCell ref="T26:U26"/>
    <mergeCell ref="A27:B27"/>
    <mergeCell ref="C27:D27"/>
    <mergeCell ref="E27:F27"/>
    <mergeCell ref="G27:H27"/>
    <mergeCell ref="I27:J27"/>
    <mergeCell ref="L27:M27"/>
    <mergeCell ref="N24:O24"/>
    <mergeCell ref="P24:Q24"/>
    <mergeCell ref="R24:S24"/>
    <mergeCell ref="T24:U24"/>
    <mergeCell ref="A26:B26"/>
    <mergeCell ref="C26:D26"/>
    <mergeCell ref="E26:F26"/>
    <mergeCell ref="G26:H26"/>
    <mergeCell ref="I26:J26"/>
    <mergeCell ref="L26:M26"/>
    <mergeCell ref="N23:O23"/>
    <mergeCell ref="P23:Q23"/>
    <mergeCell ref="R23:S23"/>
    <mergeCell ref="T23:U23"/>
    <mergeCell ref="A24:B24"/>
    <mergeCell ref="C24:D24"/>
    <mergeCell ref="E24:F24"/>
    <mergeCell ref="G24:H24"/>
    <mergeCell ref="I24:J24"/>
    <mergeCell ref="L24:M24"/>
    <mergeCell ref="N22:O22"/>
    <mergeCell ref="P22:Q22"/>
    <mergeCell ref="R22:S22"/>
    <mergeCell ref="T22:U22"/>
    <mergeCell ref="A23:B23"/>
    <mergeCell ref="C23:D23"/>
    <mergeCell ref="E23:F23"/>
    <mergeCell ref="G23:H23"/>
    <mergeCell ref="I23:J23"/>
    <mergeCell ref="L23:M23"/>
    <mergeCell ref="N20:O20"/>
    <mergeCell ref="P20:Q20"/>
    <mergeCell ref="R20:S20"/>
    <mergeCell ref="T20:U20"/>
    <mergeCell ref="A22:B22"/>
    <mergeCell ref="C22:D22"/>
    <mergeCell ref="E22:F22"/>
    <mergeCell ref="G22:H22"/>
    <mergeCell ref="I22:J22"/>
    <mergeCell ref="L22:M22"/>
    <mergeCell ref="A20:B20"/>
    <mergeCell ref="C20:D20"/>
    <mergeCell ref="E20:F20"/>
    <mergeCell ref="G20:H20"/>
    <mergeCell ref="I20:J20"/>
    <mergeCell ref="L20:M20"/>
    <mergeCell ref="P18:Q18"/>
    <mergeCell ref="R18:S18"/>
    <mergeCell ref="T18:U18"/>
    <mergeCell ref="C19:D19"/>
    <mergeCell ref="E19:F19"/>
    <mergeCell ref="G19:H19"/>
    <mergeCell ref="I19:J19"/>
    <mergeCell ref="P17:Q17"/>
    <mergeCell ref="R17:S17"/>
    <mergeCell ref="T17:U17"/>
    <mergeCell ref="A18:B18"/>
    <mergeCell ref="C18:D18"/>
    <mergeCell ref="E18:F18"/>
    <mergeCell ref="G18:H18"/>
    <mergeCell ref="I18:J18"/>
    <mergeCell ref="L18:M18"/>
    <mergeCell ref="N18:O18"/>
    <mergeCell ref="P15:Q15"/>
    <mergeCell ref="R15:S15"/>
    <mergeCell ref="T15:U15"/>
    <mergeCell ref="A17:B17"/>
    <mergeCell ref="C17:D17"/>
    <mergeCell ref="E17:F17"/>
    <mergeCell ref="G17:H17"/>
    <mergeCell ref="I17:J17"/>
    <mergeCell ref="L17:M17"/>
    <mergeCell ref="N17:O17"/>
    <mergeCell ref="P14:Q14"/>
    <mergeCell ref="R14:S14"/>
    <mergeCell ref="T14:U14"/>
    <mergeCell ref="A15:B15"/>
    <mergeCell ref="C15:D15"/>
    <mergeCell ref="E15:F15"/>
    <mergeCell ref="G15:H15"/>
    <mergeCell ref="I15:J15"/>
    <mergeCell ref="L15:M15"/>
    <mergeCell ref="N15:O15"/>
    <mergeCell ref="P13:Q13"/>
    <mergeCell ref="R13:S13"/>
    <mergeCell ref="T13:U13"/>
    <mergeCell ref="A14:B14"/>
    <mergeCell ref="C14:D14"/>
    <mergeCell ref="E14:F14"/>
    <mergeCell ref="G14:H14"/>
    <mergeCell ref="I14:J14"/>
    <mergeCell ref="L14:M14"/>
    <mergeCell ref="N14:O14"/>
    <mergeCell ref="P11:Q11"/>
    <mergeCell ref="R11:S11"/>
    <mergeCell ref="T11:U11"/>
    <mergeCell ref="A13:B13"/>
    <mergeCell ref="C13:D13"/>
    <mergeCell ref="E13:F13"/>
    <mergeCell ref="G13:H13"/>
    <mergeCell ref="I13:J13"/>
    <mergeCell ref="L13:M13"/>
    <mergeCell ref="N13:O13"/>
    <mergeCell ref="P10:Q10"/>
    <mergeCell ref="R10:S10"/>
    <mergeCell ref="T10:U10"/>
    <mergeCell ref="A11:B11"/>
    <mergeCell ref="C11:D11"/>
    <mergeCell ref="E11:F11"/>
    <mergeCell ref="G11:H11"/>
    <mergeCell ref="I11:J11"/>
    <mergeCell ref="L11:M11"/>
    <mergeCell ref="N11:O11"/>
    <mergeCell ref="P9:Q9"/>
    <mergeCell ref="R9:S9"/>
    <mergeCell ref="T9:U9"/>
    <mergeCell ref="A10:B10"/>
    <mergeCell ref="C10:D10"/>
    <mergeCell ref="E10:F10"/>
    <mergeCell ref="G10:H10"/>
    <mergeCell ref="I10:J10"/>
    <mergeCell ref="L10:M10"/>
    <mergeCell ref="N10:O10"/>
    <mergeCell ref="P7:Q7"/>
    <mergeCell ref="R7:S7"/>
    <mergeCell ref="T7:U7"/>
    <mergeCell ref="A9:B9"/>
    <mergeCell ref="C9:D9"/>
    <mergeCell ref="E9:F9"/>
    <mergeCell ref="G9:H9"/>
    <mergeCell ref="I9:J9"/>
    <mergeCell ref="L9:M9"/>
    <mergeCell ref="N9:O9"/>
    <mergeCell ref="P6:Q6"/>
    <mergeCell ref="R6:S6"/>
    <mergeCell ref="T6:U6"/>
    <mergeCell ref="A7:B7"/>
    <mergeCell ref="C7:D7"/>
    <mergeCell ref="E7:F7"/>
    <mergeCell ref="G7:H7"/>
    <mergeCell ref="I7:J7"/>
    <mergeCell ref="L7:M7"/>
    <mergeCell ref="N7:O7"/>
    <mergeCell ref="P5:Q5"/>
    <mergeCell ref="R5:S5"/>
    <mergeCell ref="T5:U5"/>
    <mergeCell ref="A6:B6"/>
    <mergeCell ref="C6:D6"/>
    <mergeCell ref="E6:F6"/>
    <mergeCell ref="G6:H6"/>
    <mergeCell ref="I6:J6"/>
    <mergeCell ref="L6:M6"/>
    <mergeCell ref="N6:O6"/>
    <mergeCell ref="P3:Q3"/>
    <mergeCell ref="R3:S3"/>
    <mergeCell ref="T3:U3"/>
    <mergeCell ref="A5:B5"/>
    <mergeCell ref="C5:D5"/>
    <mergeCell ref="E5:F5"/>
    <mergeCell ref="G5:H5"/>
    <mergeCell ref="I5:J5"/>
    <mergeCell ref="L5:M5"/>
    <mergeCell ref="N5:O5"/>
    <mergeCell ref="A1:U1"/>
    <mergeCell ref="C2:F2"/>
    <mergeCell ref="R2:U2"/>
    <mergeCell ref="A3:B3"/>
    <mergeCell ref="C3:D3"/>
    <mergeCell ref="E3:F3"/>
    <mergeCell ref="G3:H3"/>
    <mergeCell ref="I3:J3"/>
    <mergeCell ref="L3:M3"/>
    <mergeCell ref="N3:O3"/>
  </mergeCells>
  <conditionalFormatting sqref="A5 K13 K17 K22 K26 K30:K31">
    <cfRule type="notContainsBlanks" dxfId="23" priority="15">
      <formula>LEN(TRIM(A5))&gt;0</formula>
    </cfRule>
  </conditionalFormatting>
  <conditionalFormatting sqref="C5 E5 G5 I5">
    <cfRule type="notContainsBlanks" dxfId="22" priority="14">
      <formula>LEN(TRIM(C5))&gt;0</formula>
    </cfRule>
  </conditionalFormatting>
  <conditionalFormatting sqref="L5 N5 P5 R5 T5">
    <cfRule type="notContainsBlanks" dxfId="21" priority="13">
      <formula>LEN(TRIM(L5))&gt;0</formula>
    </cfRule>
  </conditionalFormatting>
  <conditionalFormatting sqref="A9 C9 E9 G9 I9">
    <cfRule type="notContainsBlanks" dxfId="20" priority="12">
      <formula>LEN(TRIM(A9))&gt;0</formula>
    </cfRule>
  </conditionalFormatting>
  <conditionalFormatting sqref="L9 N9 P9 R9 T9">
    <cfRule type="notContainsBlanks" dxfId="19" priority="11">
      <formula>LEN(TRIM(L9))&gt;0</formula>
    </cfRule>
  </conditionalFormatting>
  <conditionalFormatting sqref="A13 C13 E13 G13 I13">
    <cfRule type="notContainsBlanks" dxfId="18" priority="10">
      <formula>LEN(TRIM(A13))&gt;0</formula>
    </cfRule>
  </conditionalFormatting>
  <conditionalFormatting sqref="L13 N13 P13 R13 T13">
    <cfRule type="notContainsBlanks" dxfId="17" priority="9">
      <formula>LEN(TRIM(L13))&gt;0</formula>
    </cfRule>
  </conditionalFormatting>
  <conditionalFormatting sqref="A17 C17 E17 G17 I17">
    <cfRule type="notContainsBlanks" dxfId="16" priority="8">
      <formula>LEN(TRIM(A17))&gt;0</formula>
    </cfRule>
  </conditionalFormatting>
  <conditionalFormatting sqref="L17 N17 P17 R17 T17">
    <cfRule type="notContainsBlanks" dxfId="15" priority="7">
      <formula>LEN(TRIM(L17))&gt;0</formula>
    </cfRule>
  </conditionalFormatting>
  <conditionalFormatting sqref="A22 C22 E22 G22 I22">
    <cfRule type="notContainsBlanks" dxfId="14" priority="6">
      <formula>LEN(TRIM(A22))&gt;0</formula>
    </cfRule>
  </conditionalFormatting>
  <conditionalFormatting sqref="L22 N22 P22 R22 T22">
    <cfRule type="notContainsBlanks" dxfId="13" priority="5">
      <formula>LEN(TRIM(L22))&gt;0</formula>
    </cfRule>
  </conditionalFormatting>
  <conditionalFormatting sqref="A26 C26 E26 G26 I26">
    <cfRule type="notContainsBlanks" dxfId="12" priority="4">
      <formula>LEN(TRIM(A26))&gt;0</formula>
    </cfRule>
  </conditionalFormatting>
  <conditionalFormatting sqref="L26 N26 P26 R26 T26">
    <cfRule type="notContainsBlanks" dxfId="11" priority="3">
      <formula>LEN(TRIM(L26))&gt;0</formula>
    </cfRule>
  </conditionalFormatting>
  <conditionalFormatting sqref="A30 C30 E30 G30 I30">
    <cfRule type="notContainsBlanks" dxfId="10" priority="2">
      <formula>LEN(TRIM(A30))&gt;0</formula>
    </cfRule>
  </conditionalFormatting>
  <conditionalFormatting sqref="L30 N30 P30 R30 T30">
    <cfRule type="notContainsBlanks" dxfId="9" priority="1">
      <formula>LEN(TRIM(L30))&gt;0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workbookViewId="0">
      <selection activeCell="X15" sqref="X15"/>
    </sheetView>
  </sheetViews>
  <sheetFormatPr defaultColWidth="9" defaultRowHeight="14.4"/>
  <cols>
    <col min="1" max="18" width="6.109375" customWidth="1"/>
    <col min="19" max="19" width="6.44140625" customWidth="1"/>
    <col min="20" max="21" width="6.109375" customWidth="1"/>
    <col min="25" max="25" width="15.44140625" customWidth="1"/>
    <col min="26" max="26" width="17.109375" customWidth="1"/>
  </cols>
  <sheetData>
    <row r="1" spans="1:26" ht="30.6">
      <c r="A1" s="394" t="s">
        <v>287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  <c r="P1" s="394"/>
      <c r="Q1" s="394"/>
      <c r="R1" s="394"/>
      <c r="S1" s="394"/>
      <c r="T1" s="394"/>
      <c r="U1" s="394"/>
    </row>
    <row r="2" spans="1:26" ht="16.2" thickBot="1">
      <c r="A2" s="395"/>
      <c r="B2" s="395"/>
      <c r="C2" s="396"/>
      <c r="D2" s="396"/>
      <c r="E2" s="396"/>
      <c r="F2" s="396"/>
      <c r="G2" s="395"/>
      <c r="H2" s="395"/>
      <c r="I2" s="395"/>
      <c r="J2" s="397"/>
      <c r="K2" s="398"/>
      <c r="L2" s="395"/>
      <c r="M2" s="395"/>
      <c r="N2" s="395"/>
      <c r="O2" s="395"/>
      <c r="P2" s="395"/>
      <c r="Q2" s="395"/>
      <c r="R2" s="399">
        <f ca="1">NOW()</f>
        <v>45536.573097337961</v>
      </c>
      <c r="S2" s="399"/>
      <c r="T2" s="399"/>
      <c r="U2" s="399"/>
    </row>
    <row r="3" spans="1:26" ht="18" thickTop="1">
      <c r="A3" s="400"/>
      <c r="B3" s="401"/>
      <c r="C3" s="402"/>
      <c r="D3" s="403"/>
      <c r="E3" s="402"/>
      <c r="F3" s="403"/>
      <c r="G3" s="402"/>
      <c r="H3" s="403"/>
      <c r="I3" s="402"/>
      <c r="J3" s="404"/>
      <c r="K3" s="398"/>
      <c r="L3" s="405"/>
      <c r="M3" s="406"/>
      <c r="N3" s="407"/>
      <c r="O3" s="406"/>
      <c r="P3" s="408" t="s">
        <v>288</v>
      </c>
      <c r="Q3" s="409"/>
      <c r="R3" s="408" t="s">
        <v>288</v>
      </c>
      <c r="S3" s="409"/>
      <c r="T3" s="408" t="s">
        <v>288</v>
      </c>
      <c r="U3" s="410"/>
    </row>
    <row r="4" spans="1:26" ht="17.399999999999999">
      <c r="A4" s="411" t="s">
        <v>289</v>
      </c>
      <c r="B4" s="412" t="s">
        <v>290</v>
      </c>
      <c r="C4" s="413" t="s">
        <v>289</v>
      </c>
      <c r="D4" s="412" t="s">
        <v>291</v>
      </c>
      <c r="E4" s="413" t="s">
        <v>289</v>
      </c>
      <c r="F4" s="412" t="s">
        <v>292</v>
      </c>
      <c r="G4" s="413" t="s">
        <v>289</v>
      </c>
      <c r="H4" s="412" t="s">
        <v>293</v>
      </c>
      <c r="I4" s="413" t="s">
        <v>289</v>
      </c>
      <c r="J4" s="414" t="s">
        <v>294</v>
      </c>
      <c r="K4" s="398"/>
      <c r="L4" s="415"/>
      <c r="M4" s="412" t="s">
        <v>295</v>
      </c>
      <c r="N4" s="416" t="s">
        <v>289</v>
      </c>
      <c r="O4" s="412" t="s">
        <v>296</v>
      </c>
      <c r="P4" s="417" t="s">
        <v>185</v>
      </c>
      <c r="Q4" s="418" t="s">
        <v>297</v>
      </c>
      <c r="R4" s="417" t="s">
        <v>185</v>
      </c>
      <c r="S4" s="419" t="s">
        <v>298</v>
      </c>
      <c r="T4" s="417" t="s">
        <v>185</v>
      </c>
      <c r="U4" s="420" t="s">
        <v>299</v>
      </c>
    </row>
    <row r="5" spans="1:26" ht="15.6">
      <c r="A5" s="421" t="str">
        <f>IF(ISNA(VLOOKUP("*"&amp;B4&amp;"*",[5]Sheet1!$A$1:$F$93,5,FALSE)),"",IF(VLOOKUP("*"&amp;B4&amp;"*",[5]Sheet1!$A$1:$F$93,5,FALSE)="",MID(VLOOKUP("*"&amp;B4&amp;"*",[5]Sheet1!$A$1:$F$93,4,FALSE),5,8)&amp;VLOOKUP("*"&amp;B4&amp;"*",[5]Sheet1!$A$1:$F$93,6,FALSE),VLOOKUP("*"&amp;B4&amp;"*",[5]Sheet1!$A$1:$F$93,5,FALSE)&amp;VLOOKUP("*"&amp;B4&amp;"*",[5]Sheet1!$A$1:$F$93,6,FALSE)))</f>
        <v/>
      </c>
      <c r="B5" s="422"/>
      <c r="C5" s="421" t="str">
        <f>IF(ISNA(VLOOKUP("*"&amp;D4&amp;"*",[5]Sheet1!$A$1:$F$93,5,FALSE)),"",IF(VLOOKUP("*"&amp;D4&amp;"*",[5]Sheet1!$A$1:$F$93,5,FALSE)="",MID(VLOOKUP("*"&amp;D4&amp;"*",[5]Sheet1!$A$1:$F$93,4,FALSE),5,8)&amp;VLOOKUP("*"&amp;D4&amp;"*",[5]Sheet1!$A$1:$F$93,6,FALSE),VLOOKUP("*"&amp;D4&amp;"*",[5]Sheet1!$A$1:$F$93,5,FALSE)&amp;VLOOKUP("*"&amp;D4&amp;"*",[5]Sheet1!$A$1:$F$93,6,FALSE)))</f>
        <v/>
      </c>
      <c r="D5" s="422"/>
      <c r="E5" s="421" t="str">
        <f>IF(ISNA(VLOOKUP("*"&amp;F4&amp;"*",[5]Sheet1!$A$1:$F$93,5,FALSE)),"",IF(VLOOKUP("*"&amp;F4&amp;"*",[5]Sheet1!$A$1:$F$93,5,FALSE)="",MID(VLOOKUP("*"&amp;F4&amp;"*",[5]Sheet1!$A$1:$F$93,4,FALSE),5,8)&amp;VLOOKUP("*"&amp;F4&amp;"*",[5]Sheet1!$A$1:$F$93,6,FALSE),VLOOKUP("*"&amp;F4&amp;"*",[5]Sheet1!$A$1:$F$93,5,FALSE)&amp;VLOOKUP("*"&amp;F4&amp;"*",[5]Sheet1!$A$1:$F$93,6,FALSE)))</f>
        <v/>
      </c>
      <c r="F5" s="422"/>
      <c r="G5" s="421" t="str">
        <f>IF(ISNA(VLOOKUP("*"&amp;H4&amp;"*",[5]Sheet1!$A$1:$F$93,5,FALSE)),"",IF(VLOOKUP("*"&amp;H4&amp;"*",[5]Sheet1!$A$1:$F$93,5,FALSE)="",MID(VLOOKUP("*"&amp;H4&amp;"*",[5]Sheet1!$A$1:$F$93,4,FALSE),5,8)&amp;VLOOKUP("*"&amp;H4&amp;"*",[5]Sheet1!$A$1:$F$93,6,FALSE),VLOOKUP("*"&amp;H4&amp;"*",[5]Sheet1!$A$1:$F$93,5,FALSE)&amp;VLOOKUP("*"&amp;H4&amp;"*",[5]Sheet1!$A$1:$F$93,6,FALSE)))</f>
        <v/>
      </c>
      <c r="H5" s="422"/>
      <c r="I5" s="421" t="str">
        <f>IF(ISNA(VLOOKUP("*"&amp;J4&amp;"*",[5]Sheet1!$A$1:$F$93,5,FALSE)),"",IF(VLOOKUP("*"&amp;J4&amp;"*",[5]Sheet1!$A$1:$F$93,5,FALSE)="",MID(VLOOKUP("*"&amp;J4&amp;"*",[5]Sheet1!$A$1:$F$93,4,FALSE),5,8)&amp;VLOOKUP("*"&amp;J4&amp;"*",[5]Sheet1!$A$1:$F$93,6,FALSE),VLOOKUP("*"&amp;J4&amp;"*",[5]Sheet1!$A$1:$F$93,5,FALSE)&amp;VLOOKUP("*"&amp;J4&amp;"*",[5]Sheet1!$A$1:$F$93,6,FALSE)))</f>
        <v/>
      </c>
      <c r="J5" s="422"/>
      <c r="K5" s="398"/>
      <c r="L5" s="421" t="str">
        <f>IF(ISNA(VLOOKUP("*"&amp;M4&amp;"*",[5]Sheet1!$A$1:$F$93,5,FALSE)),"",IF(VLOOKUP("*"&amp;M4&amp;"*",[5]Sheet1!$A$1:$F$93,5,FALSE)="",MID(VLOOKUP("*"&amp;M4&amp;"*",[5]Sheet1!$A$1:$F$93,4,FALSE),5,8)&amp;VLOOKUP("*"&amp;M4&amp;"*",[5]Sheet1!$A$1:$F$93,6,FALSE),VLOOKUP("*"&amp;M4&amp;"*",[5]Sheet1!$A$1:$F$93,5,FALSE)&amp;VLOOKUP("*"&amp;M4&amp;"*",[5]Sheet1!$A$1:$F$93,6,FALSE)))</f>
        <v/>
      </c>
      <c r="M5" s="422"/>
      <c r="N5" s="421" t="str">
        <f>IF(ISNA(VLOOKUP("*"&amp;O4&amp;"*",[5]Sheet1!$A$1:$F$93,5,FALSE)),"",IF(VLOOKUP("*"&amp;O4&amp;"*",[5]Sheet1!$A$1:$F$93,5,FALSE)="",MID(VLOOKUP("*"&amp;O4&amp;"*",[5]Sheet1!$A$1:$F$93,4,FALSE),5,8)&amp;VLOOKUP("*"&amp;O4&amp;"*",[5]Sheet1!$A$1:$F$93,6,FALSE),VLOOKUP("*"&amp;O4&amp;"*",[5]Sheet1!$A$1:$F$93,5,FALSE)&amp;VLOOKUP("*"&amp;O4&amp;"*",[5]Sheet1!$A$1:$F$93,6,FALSE)))</f>
        <v/>
      </c>
      <c r="O5" s="422"/>
      <c r="P5" s="421" t="str">
        <f>IF(ISNA(VLOOKUP("*"&amp;Q4&amp;"*",[5]Sheet1!$A$1:$F$93,5,FALSE)),"",IF(VLOOKUP("*"&amp;Q4&amp;"*",[5]Sheet1!$A$1:$F$93,5,FALSE)="",MID(VLOOKUP("*"&amp;Q4&amp;"*",[5]Sheet1!$A$1:$F$93,4,FALSE),5,8)&amp;VLOOKUP("*"&amp;Q4&amp;"*",[5]Sheet1!$A$1:$F$93,6,FALSE),VLOOKUP("*"&amp;Q4&amp;"*",[5]Sheet1!$A$1:$F$93,5,FALSE)&amp;VLOOKUP("*"&amp;Q4&amp;"*",[5]Sheet1!$A$1:$F$93,6,FALSE)))</f>
        <v/>
      </c>
      <c r="Q5" s="422"/>
      <c r="R5" s="421" t="str">
        <f>IF(ISNA(VLOOKUP("*"&amp;S4&amp;"*",[5]Sheet1!$A$1:$F$93,5,FALSE)),"",IF(VLOOKUP("*"&amp;S4&amp;"*",[5]Sheet1!$A$1:$F$93,5,FALSE)="",MID(VLOOKUP("*"&amp;S4&amp;"*",[5]Sheet1!$A$1:$F$93,4,FALSE),5,8)&amp;VLOOKUP("*"&amp;S4&amp;"*",[5]Sheet1!$A$1:$F$93,6,FALSE),VLOOKUP("*"&amp;S4&amp;"*",[5]Sheet1!$A$1:$F$93,5,FALSE)&amp;VLOOKUP("*"&amp;S4&amp;"*",[5]Sheet1!$A$1:$F$93,6,FALSE)))</f>
        <v/>
      </c>
      <c r="S5" s="422"/>
      <c r="T5" s="421" t="str">
        <f>IF(ISNA(VLOOKUP("*"&amp;U4&amp;"*",[5]Sheet1!$A$1:$F$93,5,FALSE)),"",IF(VLOOKUP("*"&amp;U4&amp;"*",[5]Sheet1!$A$1:$F$93,5,FALSE)="",MID(VLOOKUP("*"&amp;U4&amp;"*",[5]Sheet1!$A$1:$F$93,4,FALSE),5,8)&amp;VLOOKUP("*"&amp;U4&amp;"*",[5]Sheet1!$A$1:$F$93,6,FALSE),VLOOKUP("*"&amp;U4&amp;"*",[5]Sheet1!$A$1:$F$93,5,FALSE)&amp;VLOOKUP("*"&amp;U4&amp;"*",[5]Sheet1!$A$1:$F$93,6,FALSE)))</f>
        <v/>
      </c>
      <c r="U5" s="422"/>
    </row>
    <row r="6" spans="1:26" ht="17.399999999999999">
      <c r="A6" s="423"/>
      <c r="B6" s="424"/>
      <c r="C6" s="425"/>
      <c r="D6" s="426"/>
      <c r="E6" s="427"/>
      <c r="F6" s="426"/>
      <c r="G6" s="427"/>
      <c r="H6" s="426"/>
      <c r="I6" s="427"/>
      <c r="J6" s="428"/>
      <c r="K6" s="398"/>
      <c r="L6" s="429"/>
      <c r="M6" s="426"/>
      <c r="N6" s="430" t="s">
        <v>289</v>
      </c>
      <c r="O6" s="431"/>
      <c r="P6" s="432" t="s">
        <v>197</v>
      </c>
      <c r="Q6" s="433"/>
      <c r="R6" s="432" t="s">
        <v>197</v>
      </c>
      <c r="S6" s="433"/>
      <c r="T6" s="434" t="s">
        <v>197</v>
      </c>
      <c r="U6" s="435"/>
    </row>
    <row r="7" spans="1:26" ht="17.399999999999999">
      <c r="A7" s="436"/>
      <c r="B7" s="437"/>
      <c r="C7" s="438"/>
      <c r="D7" s="439"/>
      <c r="E7" s="438"/>
      <c r="F7" s="439"/>
      <c r="G7" s="440"/>
      <c r="H7" s="441"/>
      <c r="I7" s="440"/>
      <c r="J7" s="442"/>
      <c r="K7" s="398"/>
      <c r="L7" s="443"/>
      <c r="M7" s="444"/>
      <c r="N7" s="445"/>
      <c r="O7" s="446"/>
      <c r="P7" s="447" t="s">
        <v>183</v>
      </c>
      <c r="Q7" s="448"/>
      <c r="R7" s="449" t="s">
        <v>59</v>
      </c>
      <c r="S7" s="450"/>
      <c r="T7" s="449" t="s">
        <v>219</v>
      </c>
      <c r="U7" s="451"/>
    </row>
    <row r="8" spans="1:26" ht="17.399999999999999">
      <c r="A8" s="411" t="s">
        <v>289</v>
      </c>
      <c r="B8" s="412" t="s">
        <v>300</v>
      </c>
      <c r="C8" s="413" t="s">
        <v>289</v>
      </c>
      <c r="D8" s="412" t="s">
        <v>301</v>
      </c>
      <c r="E8" s="413" t="s">
        <v>289</v>
      </c>
      <c r="F8" s="412" t="s">
        <v>302</v>
      </c>
      <c r="G8" s="413" t="s">
        <v>289</v>
      </c>
      <c r="H8" s="452" t="s">
        <v>303</v>
      </c>
      <c r="I8" s="413" t="s">
        <v>289</v>
      </c>
      <c r="J8" s="453" t="s">
        <v>304</v>
      </c>
      <c r="K8" s="398"/>
      <c r="L8" s="415" t="s">
        <v>289</v>
      </c>
      <c r="M8" s="452" t="s">
        <v>305</v>
      </c>
      <c r="N8" s="416" t="s">
        <v>289</v>
      </c>
      <c r="O8" s="452" t="s">
        <v>306</v>
      </c>
      <c r="P8" s="417" t="s">
        <v>185</v>
      </c>
      <c r="Q8" s="454" t="s">
        <v>297</v>
      </c>
      <c r="R8" s="417" t="s">
        <v>185</v>
      </c>
      <c r="S8" s="454" t="s">
        <v>307</v>
      </c>
      <c r="T8" s="417" t="s">
        <v>185</v>
      </c>
      <c r="U8" s="420" t="s">
        <v>308</v>
      </c>
      <c r="Y8" s="269" t="s">
        <v>19</v>
      </c>
      <c r="Z8" s="270" t="s">
        <v>199</v>
      </c>
    </row>
    <row r="9" spans="1:26" ht="15.6">
      <c r="A9" s="421" t="str">
        <f>IF(ISNA(VLOOKUP("*"&amp;B8&amp;"*",[5]Sheet1!$A$1:$F$93,5,FALSE)),"",IF(VLOOKUP("*"&amp;B8&amp;"*",[5]Sheet1!$A$1:$F$93,5,FALSE)="",MID(VLOOKUP("*"&amp;B8&amp;"*",[5]Sheet1!$A$1:$F$93,4,FALSE),5,8)&amp;VLOOKUP("*"&amp;B8&amp;"*",[5]Sheet1!$A$1:$F$93,6,FALSE),VLOOKUP("*"&amp;B8&amp;"*",[5]Sheet1!$A$1:$F$93,5,FALSE)&amp;VLOOKUP("*"&amp;B8&amp;"*",[5]Sheet1!$A$1:$F$93,6,FALSE)))</f>
        <v/>
      </c>
      <c r="B9" s="422"/>
      <c r="C9" s="421" t="str">
        <f>IF(ISNA(VLOOKUP("*"&amp;D8&amp;"*",[5]Sheet1!$A$1:$F$93,5,FALSE)),"",IF(VLOOKUP("*"&amp;D8&amp;"*",[5]Sheet1!$A$1:$F$93,5,FALSE)="",MID(VLOOKUP("*"&amp;D8&amp;"*",[5]Sheet1!$A$1:$F$93,4,FALSE),5,8)&amp;VLOOKUP("*"&amp;D8&amp;"*",[5]Sheet1!$A$1:$F$93,6,FALSE),VLOOKUP("*"&amp;D8&amp;"*",[5]Sheet1!$A$1:$F$93,5,FALSE)&amp;VLOOKUP("*"&amp;D8&amp;"*",[5]Sheet1!$A$1:$F$93,6,FALSE)))</f>
        <v/>
      </c>
      <c r="D9" s="422"/>
      <c r="E9" s="421" t="str">
        <f>IF(ISNA(VLOOKUP("*"&amp;F8&amp;"*",[5]Sheet1!$A$1:$F$93,5,FALSE)),"",IF(VLOOKUP("*"&amp;F8&amp;"*",[5]Sheet1!$A$1:$F$93,5,FALSE)="",MID(VLOOKUP("*"&amp;F8&amp;"*",[5]Sheet1!$A$1:$F$93,4,FALSE),5,8)&amp;VLOOKUP("*"&amp;F8&amp;"*",[5]Sheet1!$A$1:$F$93,6,FALSE),VLOOKUP("*"&amp;F8&amp;"*",[5]Sheet1!$A$1:$F$93,5,FALSE)&amp;VLOOKUP("*"&amp;F8&amp;"*",[5]Sheet1!$A$1:$F$93,6,FALSE)))</f>
        <v/>
      </c>
      <c r="F9" s="422"/>
      <c r="G9" s="421" t="str">
        <f>IF(ISNA(VLOOKUP("*"&amp;H8&amp;"*",[5]Sheet1!$A$1:$F$93,5,FALSE)),"",IF(VLOOKUP("*"&amp;H8&amp;"*",[5]Sheet1!$A$1:$F$93,5,FALSE)="",MID(VLOOKUP("*"&amp;H8&amp;"*",[5]Sheet1!$A$1:$F$93,4,FALSE),5,8)&amp;VLOOKUP("*"&amp;H8&amp;"*",[5]Sheet1!$A$1:$F$93,6,FALSE),VLOOKUP("*"&amp;H8&amp;"*",[5]Sheet1!$A$1:$F$93,5,FALSE)&amp;VLOOKUP("*"&amp;H8&amp;"*",[5]Sheet1!$A$1:$F$93,6,FALSE)))</f>
        <v/>
      </c>
      <c r="H9" s="422"/>
      <c r="I9" s="421" t="str">
        <f>IF(ISNA(VLOOKUP("*"&amp;J8&amp;"*",[5]Sheet1!$A$1:$F$93,5,FALSE)),"",IF(VLOOKUP("*"&amp;J8&amp;"*",[5]Sheet1!$A$1:$F$93,5,FALSE)="",MID(VLOOKUP("*"&amp;J8&amp;"*",[5]Sheet1!$A$1:$F$93,4,FALSE),5,8)&amp;VLOOKUP("*"&amp;J8&amp;"*",[5]Sheet1!$A$1:$F$93,6,FALSE),VLOOKUP("*"&amp;J8&amp;"*",[5]Sheet1!$A$1:$F$93,5,FALSE)&amp;VLOOKUP("*"&amp;J8&amp;"*",[5]Sheet1!$A$1:$F$93,6,FALSE)))</f>
        <v/>
      </c>
      <c r="J9" s="422"/>
      <c r="K9" s="398"/>
      <c r="L9" s="421" t="str">
        <f>IF(ISNA(VLOOKUP("*"&amp;M8&amp;"*",[5]Sheet1!$A$1:$F$93,5,FALSE)),"",IF(VLOOKUP("*"&amp;M8&amp;"*",[5]Sheet1!$A$1:$F$93,5,FALSE)="",MID(VLOOKUP("*"&amp;M8&amp;"*",[5]Sheet1!$A$1:$F$93,4,FALSE),5,8)&amp;VLOOKUP("*"&amp;M8&amp;"*",[5]Sheet1!$A$1:$F$93,6,FALSE),VLOOKUP("*"&amp;M8&amp;"*",[5]Sheet1!$A$1:$F$93,5,FALSE)&amp;VLOOKUP("*"&amp;M8&amp;"*",[5]Sheet1!$A$1:$F$93,6,FALSE)))</f>
        <v/>
      </c>
      <c r="M9" s="422"/>
      <c r="N9" s="421" t="str">
        <f>IF(ISNA(VLOOKUP("*"&amp;O8&amp;"*",[5]Sheet1!$A$1:$F$93,5,FALSE)),"",IF(VLOOKUP("*"&amp;O8&amp;"*",[5]Sheet1!$A$1:$F$93,5,FALSE)="",MID(VLOOKUP("*"&amp;O8&amp;"*",[5]Sheet1!$A$1:$F$93,4,FALSE),5,8)&amp;VLOOKUP("*"&amp;O8&amp;"*",[5]Sheet1!$A$1:$F$93,6,FALSE),VLOOKUP("*"&amp;O8&amp;"*",[5]Sheet1!$A$1:$F$93,5,FALSE)&amp;VLOOKUP("*"&amp;O8&amp;"*",[5]Sheet1!$A$1:$F$93,6,FALSE)))</f>
        <v/>
      </c>
      <c r="O9" s="422"/>
      <c r="P9" s="421" t="str">
        <f>IF(ISNA(VLOOKUP("*"&amp;Q8&amp;"*",[5]Sheet1!$A$1:$F$93,5,FALSE)),"",IF(VLOOKUP("*"&amp;Q8&amp;"*",[5]Sheet1!$A$1:$F$93,5,FALSE)="",MID(VLOOKUP("*"&amp;Q8&amp;"*",[5]Sheet1!$A$1:$F$93,4,FALSE),5,8)&amp;VLOOKUP("*"&amp;Q8&amp;"*",[5]Sheet1!$A$1:$F$93,6,FALSE),VLOOKUP("*"&amp;Q8&amp;"*",[5]Sheet1!$A$1:$F$93,5,FALSE)&amp;VLOOKUP("*"&amp;Q8&amp;"*",[5]Sheet1!$A$1:$F$93,6,FALSE)))</f>
        <v/>
      </c>
      <c r="Q9" s="422"/>
      <c r="R9" s="421" t="str">
        <f>IF(ISNA(VLOOKUP("*"&amp;S8&amp;"*",[5]Sheet1!$A$1:$F$93,5,FALSE)),"",IF(VLOOKUP("*"&amp;S8&amp;"*",[5]Sheet1!$A$1:$F$93,5,FALSE)="",MID(VLOOKUP("*"&amp;S8&amp;"*",[5]Sheet1!$A$1:$F$93,4,FALSE),5,8)&amp;VLOOKUP("*"&amp;S8&amp;"*",[5]Sheet1!$A$1:$F$93,6,FALSE),VLOOKUP("*"&amp;S8&amp;"*",[5]Sheet1!$A$1:$F$93,5,FALSE)&amp;VLOOKUP("*"&amp;S8&amp;"*",[5]Sheet1!$A$1:$F$93,6,FALSE)))</f>
        <v/>
      </c>
      <c r="S9" s="422"/>
      <c r="T9" s="421" t="str">
        <f>IF(ISNA(VLOOKUP("*"&amp;U8&amp;"*",[5]Sheet1!$A$1:$F$93,5,FALSE)),"",IF(VLOOKUP("*"&amp;U8&amp;"*",[5]Sheet1!$A$1:$F$93,5,FALSE)="",MID(VLOOKUP("*"&amp;U8&amp;"*",[5]Sheet1!$A$1:$F$93,4,FALSE),5,8)&amp;VLOOKUP("*"&amp;U8&amp;"*",[5]Sheet1!$A$1:$F$93,6,FALSE),VLOOKUP("*"&amp;U8&amp;"*",[5]Sheet1!$A$1:$F$93,5,FALSE)&amp;VLOOKUP("*"&amp;U8&amp;"*",[5]Sheet1!$A$1:$F$93,6,FALSE)))</f>
        <v/>
      </c>
      <c r="U9" s="422"/>
      <c r="Y9" s="269" t="s">
        <v>200</v>
      </c>
      <c r="Z9" s="291" t="s">
        <v>201</v>
      </c>
    </row>
    <row r="10" spans="1:26" ht="17.399999999999999">
      <c r="A10" s="423"/>
      <c r="B10" s="424"/>
      <c r="C10" s="425"/>
      <c r="D10" s="426"/>
      <c r="E10" s="427"/>
      <c r="F10" s="426"/>
      <c r="G10" s="427"/>
      <c r="H10" s="426"/>
      <c r="I10" s="427"/>
      <c r="J10" s="428"/>
      <c r="K10" s="398"/>
      <c r="L10" s="429"/>
      <c r="M10" s="426"/>
      <c r="N10" s="430" t="s">
        <v>289</v>
      </c>
      <c r="O10" s="431"/>
      <c r="P10" s="432" t="s">
        <v>197</v>
      </c>
      <c r="Q10" s="433"/>
      <c r="R10" s="432" t="s">
        <v>197</v>
      </c>
      <c r="S10" s="433"/>
      <c r="T10" s="434" t="s">
        <v>197</v>
      </c>
      <c r="U10" s="435"/>
      <c r="Y10" s="269" t="s">
        <v>212</v>
      </c>
      <c r="Z10" s="291" t="s">
        <v>213</v>
      </c>
    </row>
    <row r="11" spans="1:26" ht="17.399999999999999">
      <c r="A11" s="436"/>
      <c r="B11" s="455"/>
      <c r="C11" s="456"/>
      <c r="D11" s="439"/>
      <c r="E11" s="438"/>
      <c r="F11" s="439"/>
      <c r="G11" s="440"/>
      <c r="H11" s="441"/>
      <c r="I11" s="457"/>
      <c r="J11" s="458"/>
      <c r="K11" s="398"/>
      <c r="L11" s="459"/>
      <c r="M11" s="441"/>
      <c r="N11" s="460"/>
      <c r="O11" s="461"/>
      <c r="P11" s="447" t="s">
        <v>183</v>
      </c>
      <c r="Q11" s="448"/>
      <c r="R11" s="449" t="s">
        <v>219</v>
      </c>
      <c r="S11" s="450"/>
      <c r="T11" s="449" t="s">
        <v>59</v>
      </c>
      <c r="U11" s="451"/>
      <c r="Y11" s="290" t="s">
        <v>214</v>
      </c>
      <c r="Z11" s="291" t="s">
        <v>215</v>
      </c>
    </row>
    <row r="12" spans="1:26" ht="17.399999999999999">
      <c r="A12" s="411" t="s">
        <v>289</v>
      </c>
      <c r="B12" s="412" t="s">
        <v>309</v>
      </c>
      <c r="C12" s="413" t="s">
        <v>289</v>
      </c>
      <c r="D12" s="412" t="s">
        <v>310</v>
      </c>
      <c r="E12" s="413" t="s">
        <v>289</v>
      </c>
      <c r="F12" s="412" t="s">
        <v>311</v>
      </c>
      <c r="G12" s="413" t="s">
        <v>289</v>
      </c>
      <c r="H12" s="462" t="s">
        <v>312</v>
      </c>
      <c r="I12" s="413" t="s">
        <v>289</v>
      </c>
      <c r="J12" s="414" t="s">
        <v>313</v>
      </c>
      <c r="K12" s="417"/>
      <c r="L12" s="415" t="s">
        <v>289</v>
      </c>
      <c r="M12" s="452" t="s">
        <v>314</v>
      </c>
      <c r="N12" s="416" t="s">
        <v>289</v>
      </c>
      <c r="O12" s="412" t="s">
        <v>315</v>
      </c>
      <c r="P12" s="417" t="s">
        <v>185</v>
      </c>
      <c r="Q12" s="454" t="s">
        <v>316</v>
      </c>
      <c r="R12" s="417" t="s">
        <v>185</v>
      </c>
      <c r="S12" s="454" t="s">
        <v>317</v>
      </c>
      <c r="T12" s="417" t="s">
        <v>185</v>
      </c>
      <c r="U12" s="420" t="s">
        <v>318</v>
      </c>
      <c r="Y12" s="269" t="s">
        <v>216</v>
      </c>
      <c r="Z12" s="291" t="s">
        <v>217</v>
      </c>
    </row>
    <row r="13" spans="1:26" ht="15.6">
      <c r="A13" s="421" t="str">
        <f>IF(ISNA(VLOOKUP("*"&amp;B12&amp;"*",[5]Sheet1!$A$1:$F$93,5,FALSE)),"",IF(VLOOKUP("*"&amp;B12&amp;"*",[5]Sheet1!$A$1:$F$93,5,FALSE)="",MID(VLOOKUP("*"&amp;B12&amp;"*",[5]Sheet1!$A$1:$F$93,4,FALSE),5,8)&amp;VLOOKUP("*"&amp;B12&amp;"*",[5]Sheet1!$A$1:$F$93,6,FALSE),VLOOKUP("*"&amp;B12&amp;"*",[5]Sheet1!$A$1:$F$93,5,FALSE)&amp;VLOOKUP("*"&amp;B12&amp;"*",[5]Sheet1!$A$1:$F$93,6,FALSE)))</f>
        <v/>
      </c>
      <c r="B13" s="422"/>
      <c r="C13" s="421" t="str">
        <f>IF(ISNA(VLOOKUP("*"&amp;D12&amp;"*",[5]Sheet1!$A$1:$F$93,5,FALSE)),"",IF(VLOOKUP("*"&amp;D12&amp;"*",[5]Sheet1!$A$1:$F$93,5,FALSE)="",MID(VLOOKUP("*"&amp;D12&amp;"*",[5]Sheet1!$A$1:$F$93,4,FALSE),5,8)&amp;VLOOKUP("*"&amp;D12&amp;"*",[5]Sheet1!$A$1:$F$93,6,FALSE),VLOOKUP("*"&amp;D12&amp;"*",[5]Sheet1!$A$1:$F$93,5,FALSE)&amp;VLOOKUP("*"&amp;D12&amp;"*",[5]Sheet1!$A$1:$F$93,6,FALSE)))</f>
        <v/>
      </c>
      <c r="D13" s="422"/>
      <c r="E13" s="421" t="str">
        <f>IF(ISNA(VLOOKUP("*"&amp;F12&amp;"*",[5]Sheet1!$A$1:$F$93,5,FALSE)),"",IF(VLOOKUP("*"&amp;F12&amp;"*",[5]Sheet1!$A$1:$F$93,5,FALSE)="",MID(VLOOKUP("*"&amp;F12&amp;"*",[5]Sheet1!$A$1:$F$93,4,FALSE),5,8)&amp;VLOOKUP("*"&amp;F12&amp;"*",[5]Sheet1!$A$1:$F$93,6,FALSE),VLOOKUP("*"&amp;F12&amp;"*",[5]Sheet1!$A$1:$F$93,5,FALSE)&amp;VLOOKUP("*"&amp;F12&amp;"*",[5]Sheet1!$A$1:$F$93,6,FALSE)))</f>
        <v/>
      </c>
      <c r="F13" s="422"/>
      <c r="G13" s="421" t="str">
        <f>IF(ISNA(VLOOKUP("*"&amp;H12&amp;"*",[5]Sheet1!$A$1:$F$93,5,FALSE)),"",IF(VLOOKUP("*"&amp;H12&amp;"*",[5]Sheet1!$A$1:$F$93,5,FALSE)="",MID(VLOOKUP("*"&amp;H12&amp;"*",[5]Sheet1!$A$1:$F$93,4,FALSE),5,8)&amp;VLOOKUP("*"&amp;H12&amp;"*",[5]Sheet1!$A$1:$F$93,6,FALSE),VLOOKUP("*"&amp;H12&amp;"*",[5]Sheet1!$A$1:$F$93,5,FALSE)&amp;VLOOKUP("*"&amp;H12&amp;"*",[5]Sheet1!$A$1:$F$93,6,FALSE)))</f>
        <v/>
      </c>
      <c r="H13" s="422"/>
      <c r="I13" s="421" t="str">
        <f>IF(ISNA(VLOOKUP("*"&amp;J12&amp;"*",[5]Sheet1!$A$1:$F$93,5,FALSE)),"",IF(VLOOKUP("*"&amp;J12&amp;"*",[5]Sheet1!$A$1:$F$93,5,FALSE)="",MID(VLOOKUP("*"&amp;J12&amp;"*",[5]Sheet1!$A$1:$F$93,4,FALSE),5,8)&amp;VLOOKUP("*"&amp;J12&amp;"*",[5]Sheet1!$A$1:$F$93,6,FALSE),VLOOKUP("*"&amp;J12&amp;"*",[5]Sheet1!$A$1:$F$93,5,FALSE)&amp;VLOOKUP("*"&amp;J12&amp;"*",[5]Sheet1!$A$1:$F$93,6,FALSE)))</f>
        <v/>
      </c>
      <c r="J13" s="422"/>
      <c r="K13" s="463"/>
      <c r="L13" s="421" t="str">
        <f>IF(ISNA(VLOOKUP("*"&amp;M12&amp;"*",[5]Sheet1!$A$1:$F$93,5,FALSE)),"",IF(VLOOKUP("*"&amp;M12&amp;"*",[5]Sheet1!$A$1:$F$93,5,FALSE)="",MID(VLOOKUP("*"&amp;M12&amp;"*",[5]Sheet1!$A$1:$F$93,4,FALSE),5,8)&amp;VLOOKUP("*"&amp;M12&amp;"*",[5]Sheet1!$A$1:$F$93,6,FALSE),VLOOKUP("*"&amp;M12&amp;"*",[5]Sheet1!$A$1:$F$93,5,FALSE)&amp;VLOOKUP("*"&amp;M12&amp;"*",[5]Sheet1!$A$1:$F$93,6,FALSE)))</f>
        <v/>
      </c>
      <c r="M13" s="422"/>
      <c r="N13" s="421" t="str">
        <f>IF(ISNA(VLOOKUP("*"&amp;O12&amp;"*",[5]Sheet1!$A$1:$F$93,5,FALSE)),"",IF(VLOOKUP("*"&amp;O12&amp;"*",[5]Sheet1!$A$1:$F$93,5,FALSE)="",MID(VLOOKUP("*"&amp;O12&amp;"*",[5]Sheet1!$A$1:$F$93,4,FALSE),5,8)&amp;VLOOKUP("*"&amp;O12&amp;"*",[5]Sheet1!$A$1:$F$93,6,FALSE),VLOOKUP("*"&amp;O12&amp;"*",[5]Sheet1!$A$1:$F$93,5,FALSE)&amp;VLOOKUP("*"&amp;O12&amp;"*",[5]Sheet1!$A$1:$F$93,6,FALSE)))</f>
        <v/>
      </c>
      <c r="O13" s="422"/>
      <c r="P13" s="421" t="str">
        <f>IF(ISNA(VLOOKUP("*"&amp;Q12&amp;"*",[5]Sheet1!$A$1:$F$93,5,FALSE)),"",IF(VLOOKUP("*"&amp;Q12&amp;"*",[5]Sheet1!$A$1:$F$93,5,FALSE)="",MID(VLOOKUP("*"&amp;Q12&amp;"*",[5]Sheet1!$A$1:$F$93,4,FALSE),5,8)&amp;VLOOKUP("*"&amp;Q12&amp;"*",[5]Sheet1!$A$1:$F$93,6,FALSE),VLOOKUP("*"&amp;Q12&amp;"*",[5]Sheet1!$A$1:$F$93,5,FALSE)&amp;VLOOKUP("*"&amp;Q12&amp;"*",[5]Sheet1!$A$1:$F$93,6,FALSE)))</f>
        <v/>
      </c>
      <c r="Q13" s="422"/>
      <c r="R13" s="421" t="str">
        <f>IF(ISNA(VLOOKUP("*"&amp;S12&amp;"*",[5]Sheet1!$A$1:$F$93,5,FALSE)),"",IF(VLOOKUP("*"&amp;S12&amp;"*",[5]Sheet1!$A$1:$F$93,5,FALSE)="",MID(VLOOKUP("*"&amp;S12&amp;"*",[5]Sheet1!$A$1:$F$93,4,FALSE),5,8)&amp;VLOOKUP("*"&amp;S12&amp;"*",[5]Sheet1!$A$1:$F$93,6,FALSE),VLOOKUP("*"&amp;S12&amp;"*",[5]Sheet1!$A$1:$F$93,5,FALSE)&amp;VLOOKUP("*"&amp;S12&amp;"*",[5]Sheet1!$A$1:$F$93,6,FALSE)))</f>
        <v/>
      </c>
      <c r="S13" s="422"/>
      <c r="T13" s="421" t="str">
        <f>IF(ISNA(VLOOKUP("*"&amp;U12&amp;"*",[5]Sheet1!$A$1:$F$93,5,FALSE)),"",IF(VLOOKUP("*"&amp;U12&amp;"*",[5]Sheet1!$A$1:$F$93,5,FALSE)="",MID(VLOOKUP("*"&amp;U12&amp;"*",[5]Sheet1!$A$1:$F$93,4,FALSE),5,8)&amp;VLOOKUP("*"&amp;U12&amp;"*",[5]Sheet1!$A$1:$F$93,6,FALSE),VLOOKUP("*"&amp;U12&amp;"*",[5]Sheet1!$A$1:$F$93,5,FALSE)&amp;VLOOKUP("*"&amp;U12&amp;"*",[5]Sheet1!$A$1:$F$93,6,FALSE)))</f>
        <v/>
      </c>
      <c r="U13" s="422"/>
      <c r="Y13" s="269" t="s">
        <v>220</v>
      </c>
      <c r="Z13" s="291" t="s">
        <v>221</v>
      </c>
    </row>
    <row r="14" spans="1:26" ht="17.399999999999999">
      <c r="A14" s="423"/>
      <c r="B14" s="424"/>
      <c r="C14" s="425"/>
      <c r="D14" s="426"/>
      <c r="E14" s="427"/>
      <c r="F14" s="426"/>
      <c r="G14" s="427"/>
      <c r="H14" s="426"/>
      <c r="I14" s="427"/>
      <c r="J14" s="428"/>
      <c r="K14" s="398"/>
      <c r="L14" s="429"/>
      <c r="M14" s="426"/>
      <c r="N14" s="430" t="s">
        <v>289</v>
      </c>
      <c r="O14" s="431"/>
      <c r="P14" s="432" t="s">
        <v>197</v>
      </c>
      <c r="Q14" s="433"/>
      <c r="R14" s="432" t="s">
        <v>197</v>
      </c>
      <c r="S14" s="433"/>
      <c r="T14" s="434" t="s">
        <v>197</v>
      </c>
      <c r="U14" s="435"/>
      <c r="Y14" s="269" t="s">
        <v>232</v>
      </c>
      <c r="Z14" s="291" t="s">
        <v>233</v>
      </c>
    </row>
    <row r="15" spans="1:26" ht="15.6">
      <c r="A15" s="464"/>
      <c r="B15" s="465"/>
      <c r="C15" s="466"/>
      <c r="D15" s="467"/>
      <c r="E15" s="440"/>
      <c r="F15" s="448"/>
      <c r="G15" s="440"/>
      <c r="H15" s="441"/>
      <c r="I15" s="440"/>
      <c r="J15" s="442"/>
      <c r="K15" s="398"/>
      <c r="L15" s="468"/>
      <c r="M15" s="469"/>
      <c r="N15" s="470"/>
      <c r="O15" s="471"/>
      <c r="P15" s="447" t="s">
        <v>183</v>
      </c>
      <c r="Q15" s="448"/>
      <c r="R15" s="449" t="s">
        <v>219</v>
      </c>
      <c r="S15" s="450"/>
      <c r="T15" s="449" t="s">
        <v>219</v>
      </c>
      <c r="U15" s="451"/>
      <c r="Y15" s="269" t="s">
        <v>234</v>
      </c>
      <c r="Z15" s="291" t="s">
        <v>235</v>
      </c>
    </row>
    <row r="16" spans="1:26" ht="17.399999999999999">
      <c r="A16" s="411" t="s">
        <v>289</v>
      </c>
      <c r="B16" s="412" t="s">
        <v>319</v>
      </c>
      <c r="C16" s="413" t="s">
        <v>289</v>
      </c>
      <c r="D16" s="412" t="s">
        <v>320</v>
      </c>
      <c r="E16" s="413" t="s">
        <v>289</v>
      </c>
      <c r="F16" s="452" t="s">
        <v>321</v>
      </c>
      <c r="G16" s="413" t="s">
        <v>289</v>
      </c>
      <c r="H16" s="462" t="s">
        <v>322</v>
      </c>
      <c r="I16" s="413" t="s">
        <v>289</v>
      </c>
      <c r="J16" s="453" t="s">
        <v>323</v>
      </c>
      <c r="K16" s="417"/>
      <c r="L16" s="472" t="s">
        <v>289</v>
      </c>
      <c r="M16" s="462" t="s">
        <v>324</v>
      </c>
      <c r="N16" s="416" t="s">
        <v>289</v>
      </c>
      <c r="O16" s="462" t="s">
        <v>325</v>
      </c>
      <c r="P16" s="417" t="s">
        <v>185</v>
      </c>
      <c r="Q16" s="454" t="s">
        <v>326</v>
      </c>
      <c r="R16" s="417" t="s">
        <v>185</v>
      </c>
      <c r="S16" s="454" t="s">
        <v>327</v>
      </c>
      <c r="T16" s="417" t="s">
        <v>185</v>
      </c>
      <c r="U16" s="420" t="s">
        <v>328</v>
      </c>
      <c r="Y16" s="269" t="s">
        <v>37</v>
      </c>
      <c r="Z16" s="291" t="s">
        <v>236</v>
      </c>
    </row>
    <row r="17" spans="1:26" ht="15.6">
      <c r="A17" s="421" t="str">
        <f>IF(ISNA(VLOOKUP("*"&amp;B16&amp;"*",[5]Sheet1!$A$1:$F$93,5,FALSE)),"",IF(VLOOKUP("*"&amp;B16&amp;"*",[5]Sheet1!$A$1:$F$93,5,FALSE)="",MID(VLOOKUP("*"&amp;B16&amp;"*",[5]Sheet1!$A$1:$F$93,4,FALSE),5,8)&amp;VLOOKUP("*"&amp;B16&amp;"*",[5]Sheet1!$A$1:$F$93,6,FALSE),VLOOKUP("*"&amp;B16&amp;"*",[5]Sheet1!$A$1:$F$93,5,FALSE)&amp;VLOOKUP("*"&amp;B16&amp;"*",[5]Sheet1!$A$1:$F$93,6,FALSE)))</f>
        <v/>
      </c>
      <c r="B17" s="422"/>
      <c r="C17" s="421" t="str">
        <f>IF(ISNA(VLOOKUP("*"&amp;D16&amp;"*",[5]Sheet1!$A$1:$F$93,5,FALSE)),"",IF(VLOOKUP("*"&amp;D16&amp;"*",[5]Sheet1!$A$1:$F$93,5,FALSE)="",MID(VLOOKUP("*"&amp;D16&amp;"*",[5]Sheet1!$A$1:$F$93,4,FALSE),5,8)&amp;VLOOKUP("*"&amp;D16&amp;"*",[5]Sheet1!$A$1:$F$93,6,FALSE),VLOOKUP("*"&amp;D16&amp;"*",[5]Sheet1!$A$1:$F$93,5,FALSE)&amp;VLOOKUP("*"&amp;D16&amp;"*",[5]Sheet1!$A$1:$F$93,6,FALSE)))</f>
        <v/>
      </c>
      <c r="D17" s="422"/>
      <c r="E17" s="421" t="str">
        <f>IF(ISNA(VLOOKUP("*"&amp;F16&amp;"*",[5]Sheet1!$A$1:$F$93,5,FALSE)),"",IF(VLOOKUP("*"&amp;F16&amp;"*",[5]Sheet1!$A$1:$F$93,5,FALSE)="",MID(VLOOKUP("*"&amp;F16&amp;"*",[5]Sheet1!$A$1:$F$93,4,FALSE),5,8)&amp;VLOOKUP("*"&amp;F16&amp;"*",[5]Sheet1!$A$1:$F$93,6,FALSE),VLOOKUP("*"&amp;F16&amp;"*",[5]Sheet1!$A$1:$F$93,5,FALSE)&amp;VLOOKUP("*"&amp;F16&amp;"*",[5]Sheet1!$A$1:$F$93,6,FALSE)))</f>
        <v/>
      </c>
      <c r="F17" s="422"/>
      <c r="G17" s="421" t="str">
        <f>IF(ISNA(VLOOKUP("*"&amp;H16&amp;"*",[5]Sheet1!$A$1:$F$93,5,FALSE)),"",IF(VLOOKUP("*"&amp;H16&amp;"*",[5]Sheet1!$A$1:$F$93,5,FALSE)="",MID(VLOOKUP("*"&amp;H16&amp;"*",[5]Sheet1!$A$1:$F$93,4,FALSE),5,8)&amp;VLOOKUP("*"&amp;H16&amp;"*",[5]Sheet1!$A$1:$F$93,6,FALSE),VLOOKUP("*"&amp;H16&amp;"*",[5]Sheet1!$A$1:$F$93,5,FALSE)&amp;VLOOKUP("*"&amp;H16&amp;"*",[5]Sheet1!$A$1:$F$93,6,FALSE)))</f>
        <v/>
      </c>
      <c r="H17" s="422"/>
      <c r="I17" s="421" t="str">
        <f>IF(ISNA(VLOOKUP("*"&amp;J16&amp;"*",[5]Sheet1!$A$1:$F$93,5,FALSE)),"",IF(VLOOKUP("*"&amp;J16&amp;"*",[5]Sheet1!$A$1:$F$93,5,FALSE)="",MID(VLOOKUP("*"&amp;J16&amp;"*",[5]Sheet1!$A$1:$F$93,4,FALSE),5,8)&amp;VLOOKUP("*"&amp;J16&amp;"*",[5]Sheet1!$A$1:$F$93,6,FALSE),VLOOKUP("*"&amp;J16&amp;"*",[5]Sheet1!$A$1:$F$93,5,FALSE)&amp;VLOOKUP("*"&amp;J16&amp;"*",[5]Sheet1!$A$1:$F$93,6,FALSE)))</f>
        <v/>
      </c>
      <c r="J17" s="422"/>
      <c r="K17" s="463"/>
      <c r="L17" s="421" t="str">
        <f>IF(ISNA(VLOOKUP("*"&amp;M16&amp;"*",[5]Sheet1!$A$1:$F$93,5,FALSE)),"",IF(VLOOKUP("*"&amp;M16&amp;"*",[5]Sheet1!$A$1:$F$93,5,FALSE)="",MID(VLOOKUP("*"&amp;M16&amp;"*",[5]Sheet1!$A$1:$F$93,4,FALSE),5,8)&amp;VLOOKUP("*"&amp;M16&amp;"*",[5]Sheet1!$A$1:$F$93,6,FALSE),VLOOKUP("*"&amp;M16&amp;"*",[5]Sheet1!$A$1:$F$93,5,FALSE)&amp;VLOOKUP("*"&amp;M16&amp;"*",[5]Sheet1!$A$1:$F$93,6,FALSE)))</f>
        <v/>
      </c>
      <c r="M17" s="422"/>
      <c r="N17" s="421" t="str">
        <f>IF(ISNA(VLOOKUP("*"&amp;O16&amp;"*",[5]Sheet1!$A$1:$F$93,5,FALSE)),"",IF(VLOOKUP("*"&amp;O16&amp;"*",[5]Sheet1!$A$1:$F$93,5,FALSE)="",MID(VLOOKUP("*"&amp;O16&amp;"*",[5]Sheet1!$A$1:$F$93,4,FALSE),5,8)&amp;VLOOKUP("*"&amp;O16&amp;"*",[5]Sheet1!$A$1:$F$93,6,FALSE),VLOOKUP("*"&amp;O16&amp;"*",[5]Sheet1!$A$1:$F$93,5,FALSE)&amp;VLOOKUP("*"&amp;O16&amp;"*",[5]Sheet1!$A$1:$F$93,6,FALSE)))</f>
        <v/>
      </c>
      <c r="O17" s="422"/>
      <c r="P17" s="421" t="str">
        <f>IF(ISNA(VLOOKUP("*"&amp;Q16&amp;"*",[5]Sheet1!$A$1:$F$93,5,FALSE)),"",IF(VLOOKUP("*"&amp;Q16&amp;"*",[5]Sheet1!$A$1:$F$93,5,FALSE)="",MID(VLOOKUP("*"&amp;Q16&amp;"*",[5]Sheet1!$A$1:$F$93,4,FALSE),5,8)&amp;VLOOKUP("*"&amp;Q16&amp;"*",[5]Sheet1!$A$1:$F$93,6,FALSE),VLOOKUP("*"&amp;Q16&amp;"*",[5]Sheet1!$A$1:$F$93,5,FALSE)&amp;VLOOKUP("*"&amp;Q16&amp;"*",[5]Sheet1!$A$1:$F$93,6,FALSE)))</f>
        <v/>
      </c>
      <c r="Q17" s="422"/>
      <c r="R17" s="421" t="str">
        <f>IF(ISNA(VLOOKUP("*"&amp;S16&amp;"*",[5]Sheet1!$A$1:$F$93,5,FALSE)),"",IF(VLOOKUP("*"&amp;S16&amp;"*",[5]Sheet1!$A$1:$F$93,5,FALSE)="",MID(VLOOKUP("*"&amp;S16&amp;"*",[5]Sheet1!$A$1:$F$93,4,FALSE),5,8)&amp;VLOOKUP("*"&amp;S16&amp;"*",[5]Sheet1!$A$1:$F$93,6,FALSE),VLOOKUP("*"&amp;S16&amp;"*",[5]Sheet1!$A$1:$F$93,5,FALSE)&amp;VLOOKUP("*"&amp;S16&amp;"*",[5]Sheet1!$A$1:$F$93,6,FALSE)))</f>
        <v/>
      </c>
      <c r="S17" s="422"/>
      <c r="T17" s="421" t="str">
        <f>IF(ISNA(VLOOKUP("*"&amp;U16&amp;"*",[5]Sheet1!$A$1:$F$93,5,FALSE)),"",IF(VLOOKUP("*"&amp;U16&amp;"*",[5]Sheet1!$A$1:$F$93,5,FALSE)="",MID(VLOOKUP("*"&amp;U16&amp;"*",[5]Sheet1!$A$1:$F$93,4,FALSE),5,8)&amp;VLOOKUP("*"&amp;U16&amp;"*",[5]Sheet1!$A$1:$F$93,6,FALSE),VLOOKUP("*"&amp;U16&amp;"*",[5]Sheet1!$A$1:$F$93,5,FALSE)&amp;VLOOKUP("*"&amp;U16&amp;"*",[5]Sheet1!$A$1:$F$93,6,FALSE)))</f>
        <v/>
      </c>
      <c r="U17" s="422"/>
      <c r="Y17" s="269" t="s">
        <v>237</v>
      </c>
      <c r="Z17" s="291" t="s">
        <v>238</v>
      </c>
    </row>
    <row r="18" spans="1:26" ht="18" thickBot="1">
      <c r="A18" s="473"/>
      <c r="B18" s="474"/>
      <c r="C18" s="475"/>
      <c r="D18" s="476"/>
      <c r="E18" s="477"/>
      <c r="F18" s="476"/>
      <c r="G18" s="477"/>
      <c r="H18" s="476"/>
      <c r="I18" s="477"/>
      <c r="J18" s="478"/>
      <c r="K18" s="398"/>
      <c r="L18" s="479" t="s">
        <v>289</v>
      </c>
      <c r="M18" s="480"/>
      <c r="N18" s="481" t="s">
        <v>289</v>
      </c>
      <c r="O18" s="480"/>
      <c r="P18" s="482" t="s">
        <v>197</v>
      </c>
      <c r="Q18" s="480"/>
      <c r="R18" s="483" t="s">
        <v>197</v>
      </c>
      <c r="S18" s="484"/>
      <c r="T18" s="483" t="s">
        <v>197</v>
      </c>
      <c r="U18" s="485"/>
    </row>
    <row r="19" spans="1:26" ht="16.8" thickTop="1" thickBot="1">
      <c r="A19" s="486"/>
      <c r="B19" s="398"/>
      <c r="C19" s="487"/>
      <c r="D19" s="487"/>
      <c r="E19" s="488"/>
      <c r="F19" s="488"/>
      <c r="G19" s="488"/>
      <c r="H19" s="488"/>
      <c r="I19" s="488"/>
      <c r="J19" s="488"/>
      <c r="K19" s="398"/>
      <c r="L19" s="398"/>
      <c r="M19" s="398"/>
      <c r="N19" s="398"/>
      <c r="O19" s="398"/>
      <c r="P19" s="398"/>
      <c r="Q19" s="398"/>
      <c r="R19" s="398"/>
      <c r="S19" s="398"/>
      <c r="T19" s="398"/>
      <c r="U19" s="398"/>
    </row>
    <row r="20" spans="1:26" ht="16.2" thickTop="1">
      <c r="A20" s="489"/>
      <c r="B20" s="490"/>
      <c r="C20" s="491"/>
      <c r="D20" s="492"/>
      <c r="E20" s="493"/>
      <c r="F20" s="494"/>
      <c r="G20" s="491"/>
      <c r="H20" s="494"/>
      <c r="I20" s="491"/>
      <c r="J20" s="495"/>
      <c r="K20" s="496"/>
      <c r="L20" s="497"/>
      <c r="M20" s="498"/>
      <c r="N20" s="499"/>
      <c r="O20" s="500"/>
      <c r="P20" s="501" t="s">
        <v>182</v>
      </c>
      <c r="Q20" s="502"/>
      <c r="R20" s="501" t="s">
        <v>182</v>
      </c>
      <c r="S20" s="502"/>
      <c r="T20" s="501" t="s">
        <v>182</v>
      </c>
      <c r="U20" s="503"/>
    </row>
    <row r="21" spans="1:26" ht="15.6">
      <c r="A21" s="411" t="s">
        <v>289</v>
      </c>
      <c r="B21" s="412" t="s">
        <v>329</v>
      </c>
      <c r="C21" s="413" t="s">
        <v>289</v>
      </c>
      <c r="D21" s="412" t="s">
        <v>330</v>
      </c>
      <c r="E21" s="413" t="s">
        <v>289</v>
      </c>
      <c r="F21" s="412" t="s">
        <v>331</v>
      </c>
      <c r="G21" s="413" t="s">
        <v>289</v>
      </c>
      <c r="H21" s="412" t="s">
        <v>332</v>
      </c>
      <c r="I21" s="413" t="s">
        <v>289</v>
      </c>
      <c r="J21" s="414" t="s">
        <v>333</v>
      </c>
      <c r="K21" s="496"/>
      <c r="L21" s="415" t="s">
        <v>289</v>
      </c>
      <c r="M21" s="504" t="s">
        <v>334</v>
      </c>
      <c r="N21" s="413" t="s">
        <v>289</v>
      </c>
      <c r="O21" s="418" t="s">
        <v>335</v>
      </c>
      <c r="P21" s="417" t="s">
        <v>185</v>
      </c>
      <c r="Q21" s="418" t="s">
        <v>336</v>
      </c>
      <c r="R21" s="417" t="s">
        <v>185</v>
      </c>
      <c r="S21" s="418" t="s">
        <v>337</v>
      </c>
      <c r="T21" s="417" t="s">
        <v>185</v>
      </c>
      <c r="U21" s="505" t="s">
        <v>338</v>
      </c>
    </row>
    <row r="22" spans="1:26" ht="15.6">
      <c r="A22" s="421" t="str">
        <f>IF(ISNA(VLOOKUP("*"&amp;B21&amp;"*",[5]Sheet1!$A$1:$F$93,5,FALSE)),"",IF(VLOOKUP("*"&amp;B21&amp;"*",[5]Sheet1!$A$1:$F$93,5,FALSE)="",MID(VLOOKUP("*"&amp;B21&amp;"*",[5]Sheet1!$A$1:$F$93,4,FALSE),5,8)&amp;VLOOKUP("*"&amp;B21&amp;"*",[5]Sheet1!$A$1:$F$93,6,FALSE),VLOOKUP("*"&amp;B21&amp;"*",[5]Sheet1!$A$1:$F$93,5,FALSE)&amp;VLOOKUP("*"&amp;B21&amp;"*",[5]Sheet1!$A$1:$F$93,6,FALSE)))</f>
        <v/>
      </c>
      <c r="B22" s="422"/>
      <c r="C22" s="421" t="str">
        <f>IF(ISNA(VLOOKUP("*"&amp;D21&amp;"*",[5]Sheet1!$A$1:$F$93,5,FALSE)),"",IF(VLOOKUP("*"&amp;D21&amp;"*",[5]Sheet1!$A$1:$F$93,5,FALSE)="",MID(VLOOKUP("*"&amp;D21&amp;"*",[5]Sheet1!$A$1:$F$93,4,FALSE),5,8)&amp;VLOOKUP("*"&amp;D21&amp;"*",[5]Sheet1!$A$1:$F$93,6,FALSE),VLOOKUP("*"&amp;D21&amp;"*",[5]Sheet1!$A$1:$F$93,5,FALSE)&amp;VLOOKUP("*"&amp;D21&amp;"*",[5]Sheet1!$A$1:$F$93,6,FALSE)))</f>
        <v/>
      </c>
      <c r="D22" s="422"/>
      <c r="E22" s="421" t="str">
        <f>IF(ISNA(VLOOKUP("*"&amp;F21&amp;"*",[5]Sheet1!$A$1:$F$93,5,FALSE)),"",IF(VLOOKUP("*"&amp;F21&amp;"*",[5]Sheet1!$A$1:$F$93,5,FALSE)="",MID(VLOOKUP("*"&amp;F21&amp;"*",[5]Sheet1!$A$1:$F$93,4,FALSE),5,8)&amp;VLOOKUP("*"&amp;F21&amp;"*",[5]Sheet1!$A$1:$F$93,6,FALSE),VLOOKUP("*"&amp;F21&amp;"*",[5]Sheet1!$A$1:$F$93,5,FALSE)&amp;VLOOKUP("*"&amp;F21&amp;"*",[5]Sheet1!$A$1:$F$93,6,FALSE)))</f>
        <v/>
      </c>
      <c r="F22" s="422"/>
      <c r="G22" s="421" t="str">
        <f>IF(ISNA(VLOOKUP("*"&amp;H21&amp;"*",[5]Sheet1!$A$1:$F$93,5,FALSE)),"",IF(VLOOKUP("*"&amp;H21&amp;"*",[5]Sheet1!$A$1:$F$93,5,FALSE)="",MID(VLOOKUP("*"&amp;H21&amp;"*",[5]Sheet1!$A$1:$F$93,4,FALSE),5,8)&amp;VLOOKUP("*"&amp;H21&amp;"*",[5]Sheet1!$A$1:$F$93,6,FALSE),VLOOKUP("*"&amp;H21&amp;"*",[5]Sheet1!$A$1:$F$93,5,FALSE)&amp;VLOOKUP("*"&amp;H21&amp;"*",[5]Sheet1!$A$1:$F$93,6,FALSE)))</f>
        <v/>
      </c>
      <c r="H22" s="422"/>
      <c r="I22" s="421" t="str">
        <f>IF(ISNA(VLOOKUP("*"&amp;J21&amp;"*",[5]Sheet1!$A$1:$F$93,5,FALSE)),"",IF(VLOOKUP("*"&amp;J21&amp;"*",[5]Sheet1!$A$1:$F$93,5,FALSE)="",MID(VLOOKUP("*"&amp;J21&amp;"*",[5]Sheet1!$A$1:$F$93,4,FALSE),5,8)&amp;VLOOKUP("*"&amp;J21&amp;"*",[5]Sheet1!$A$1:$F$93,6,FALSE),VLOOKUP("*"&amp;J21&amp;"*",[5]Sheet1!$A$1:$F$93,5,FALSE)&amp;VLOOKUP("*"&amp;J21&amp;"*",[5]Sheet1!$A$1:$F$93,6,FALSE)))</f>
        <v/>
      </c>
      <c r="J22" s="422"/>
      <c r="K22" s="506"/>
      <c r="L22" s="421" t="str">
        <f>IF(ISNA(VLOOKUP("*"&amp;M21&amp;"*",[5]Sheet1!$A$1:$F$93,5,FALSE)),"",IF(VLOOKUP("*"&amp;M21&amp;"*",[5]Sheet1!$A$1:$F$93,5,FALSE)="",MID(VLOOKUP("*"&amp;M21&amp;"*",[5]Sheet1!$A$1:$F$93,4,FALSE),5,8)&amp;VLOOKUP("*"&amp;M21&amp;"*",[5]Sheet1!$A$1:$F$93,6,FALSE),VLOOKUP("*"&amp;M21&amp;"*",[5]Sheet1!$A$1:$F$93,5,FALSE)&amp;VLOOKUP("*"&amp;M21&amp;"*",[5]Sheet1!$A$1:$F$93,6,FALSE)))</f>
        <v/>
      </c>
      <c r="M22" s="422"/>
      <c r="N22" s="421" t="str">
        <f>IF(ISNA(VLOOKUP("*"&amp;O21&amp;"*",[5]Sheet1!$A$1:$F$93,5,FALSE)),"",IF(VLOOKUP("*"&amp;O21&amp;"*",[5]Sheet1!$A$1:$F$93,5,FALSE)="",MID(VLOOKUP("*"&amp;O21&amp;"*",[5]Sheet1!$A$1:$F$93,4,FALSE),5,8)&amp;VLOOKUP("*"&amp;O21&amp;"*",[5]Sheet1!$A$1:$F$93,6,FALSE),VLOOKUP("*"&amp;O21&amp;"*",[5]Sheet1!$A$1:$F$93,5,FALSE)&amp;VLOOKUP("*"&amp;O21&amp;"*",[5]Sheet1!$A$1:$F$93,6,FALSE)))</f>
        <v/>
      </c>
      <c r="O22" s="422"/>
      <c r="P22" s="421" t="str">
        <f>IF(ISNA(VLOOKUP("*"&amp;Q21&amp;"*",[5]Sheet1!$A$1:$F$93,5,FALSE)),"",IF(VLOOKUP("*"&amp;Q21&amp;"*",[5]Sheet1!$A$1:$F$93,5,FALSE)="",MID(VLOOKUP("*"&amp;Q21&amp;"*",[5]Sheet1!$A$1:$F$93,4,FALSE),5,8)&amp;VLOOKUP("*"&amp;Q21&amp;"*",[5]Sheet1!$A$1:$F$93,6,FALSE),VLOOKUP("*"&amp;Q21&amp;"*",[5]Sheet1!$A$1:$F$93,5,FALSE)&amp;VLOOKUP("*"&amp;Q21&amp;"*",[5]Sheet1!$A$1:$F$93,6,FALSE)))</f>
        <v/>
      </c>
      <c r="Q22" s="422"/>
      <c r="R22" s="421" t="str">
        <f>IF(ISNA(VLOOKUP("*"&amp;S21&amp;"*",[5]Sheet1!$A$1:$F$93,5,FALSE)),"",IF(VLOOKUP("*"&amp;S21&amp;"*",[5]Sheet1!$A$1:$F$93,5,FALSE)="",MID(VLOOKUP("*"&amp;S21&amp;"*",[5]Sheet1!$A$1:$F$93,4,FALSE),5,8)&amp;VLOOKUP("*"&amp;S21&amp;"*",[5]Sheet1!$A$1:$F$93,6,FALSE),VLOOKUP("*"&amp;S21&amp;"*",[5]Sheet1!$A$1:$F$93,5,FALSE)&amp;VLOOKUP("*"&amp;S21&amp;"*",[5]Sheet1!$A$1:$F$93,6,FALSE)))</f>
        <v/>
      </c>
      <c r="S22" s="422"/>
      <c r="T22" s="421" t="str">
        <f>IF(ISNA(VLOOKUP("*"&amp;U21&amp;"*",[5]Sheet1!$A$1:$F$93,5,FALSE)),"",IF(VLOOKUP("*"&amp;U21&amp;"*",[5]Sheet1!$A$1:$F$93,5,FALSE)="",MID(VLOOKUP("*"&amp;U21&amp;"*",[5]Sheet1!$A$1:$F$93,4,FALSE),5,8)&amp;VLOOKUP("*"&amp;U21&amp;"*",[5]Sheet1!$A$1:$F$93,6,FALSE),VLOOKUP("*"&amp;U21&amp;"*",[5]Sheet1!$A$1:$F$93,5,FALSE)&amp;VLOOKUP("*"&amp;U21&amp;"*",[5]Sheet1!$A$1:$F$93,6,FALSE)))</f>
        <v/>
      </c>
      <c r="U22" s="422"/>
    </row>
    <row r="23" spans="1:26" ht="15.6">
      <c r="A23" s="423"/>
      <c r="B23" s="426"/>
      <c r="C23" s="507"/>
      <c r="D23" s="508"/>
      <c r="E23" s="427"/>
      <c r="F23" s="426"/>
      <c r="G23" s="427"/>
      <c r="H23" s="424"/>
      <c r="I23" s="425"/>
      <c r="J23" s="428"/>
      <c r="K23" s="496"/>
      <c r="L23" s="429"/>
      <c r="M23" s="509"/>
      <c r="N23" s="427"/>
      <c r="O23" s="509"/>
      <c r="P23" s="432" t="s">
        <v>197</v>
      </c>
      <c r="Q23" s="433"/>
      <c r="R23" s="432" t="s">
        <v>197</v>
      </c>
      <c r="S23" s="433"/>
      <c r="T23" s="434" t="s">
        <v>197</v>
      </c>
      <c r="U23" s="435"/>
    </row>
    <row r="24" spans="1:26" ht="17.399999999999999">
      <c r="A24" s="510"/>
      <c r="B24" s="511"/>
      <c r="C24" s="512"/>
      <c r="D24" s="513"/>
      <c r="E24" s="438"/>
      <c r="F24" s="461"/>
      <c r="G24" s="438"/>
      <c r="H24" s="439"/>
      <c r="I24" s="514"/>
      <c r="J24" s="458"/>
      <c r="K24" s="496"/>
      <c r="L24" s="515"/>
      <c r="M24" s="516"/>
      <c r="N24" s="460"/>
      <c r="O24" s="517"/>
      <c r="P24" s="460"/>
      <c r="Q24" s="517"/>
      <c r="R24" s="460"/>
      <c r="S24" s="517"/>
      <c r="T24" s="518" t="s">
        <v>182</v>
      </c>
      <c r="U24" s="519"/>
    </row>
    <row r="25" spans="1:26" ht="15.6">
      <c r="A25" s="411" t="s">
        <v>289</v>
      </c>
      <c r="B25" s="412" t="s">
        <v>339</v>
      </c>
      <c r="C25" s="413" t="s">
        <v>289</v>
      </c>
      <c r="D25" s="454" t="s">
        <v>340</v>
      </c>
      <c r="E25" s="413" t="s">
        <v>289</v>
      </c>
      <c r="F25" s="454" t="s">
        <v>341</v>
      </c>
      <c r="G25" s="413" t="s">
        <v>289</v>
      </c>
      <c r="H25" s="417" t="s">
        <v>342</v>
      </c>
      <c r="I25" s="520" t="s">
        <v>289</v>
      </c>
      <c r="J25" s="414" t="s">
        <v>343</v>
      </c>
      <c r="K25" s="496"/>
      <c r="L25" s="415" t="s">
        <v>289</v>
      </c>
      <c r="M25" s="521" t="s">
        <v>344</v>
      </c>
      <c r="N25" s="413" t="s">
        <v>289</v>
      </c>
      <c r="O25" s="418" t="s">
        <v>345</v>
      </c>
      <c r="P25" s="413" t="s">
        <v>289</v>
      </c>
      <c r="Q25" s="418" t="s">
        <v>346</v>
      </c>
      <c r="R25" s="413" t="s">
        <v>289</v>
      </c>
      <c r="S25" s="418" t="s">
        <v>347</v>
      </c>
      <c r="T25" s="417" t="s">
        <v>185</v>
      </c>
      <c r="U25" s="505" t="s">
        <v>348</v>
      </c>
    </row>
    <row r="26" spans="1:26" ht="15.6">
      <c r="A26" s="421" t="str">
        <f>IF(ISNA(VLOOKUP("*"&amp;B25&amp;"*",[5]Sheet1!$A$1:$F$93,5,FALSE)),"",IF(VLOOKUP("*"&amp;B25&amp;"*",[5]Sheet1!$A$1:$F$93,5,FALSE)="",MID(VLOOKUP("*"&amp;B25&amp;"*",[5]Sheet1!$A$1:$F$93,4,FALSE),5,8)&amp;VLOOKUP("*"&amp;B25&amp;"*",[5]Sheet1!$A$1:$F$93,6,FALSE),VLOOKUP("*"&amp;B25&amp;"*",[5]Sheet1!$A$1:$F$93,5,FALSE)&amp;VLOOKUP("*"&amp;B25&amp;"*",[5]Sheet1!$A$1:$F$93,6,FALSE)))</f>
        <v/>
      </c>
      <c r="B26" s="422"/>
      <c r="C26" s="421" t="str">
        <f>IF(ISNA(VLOOKUP("*"&amp;D25&amp;"*",[5]Sheet1!$A$1:$F$93,5,FALSE)),"",IF(VLOOKUP("*"&amp;D25&amp;"*",[5]Sheet1!$A$1:$F$93,5,FALSE)="",MID(VLOOKUP("*"&amp;D25&amp;"*",[5]Sheet1!$A$1:$F$93,4,FALSE),5,8)&amp;VLOOKUP("*"&amp;D25&amp;"*",[5]Sheet1!$A$1:$F$93,6,FALSE),VLOOKUP("*"&amp;D25&amp;"*",[5]Sheet1!$A$1:$F$93,5,FALSE)&amp;VLOOKUP("*"&amp;D25&amp;"*",[5]Sheet1!$A$1:$F$93,6,FALSE)))</f>
        <v/>
      </c>
      <c r="D26" s="422"/>
      <c r="E26" s="421" t="str">
        <f>IF(ISNA(VLOOKUP("*"&amp;F25&amp;"*",[5]Sheet1!$A$1:$F$93,5,FALSE)),"",IF(VLOOKUP("*"&amp;F25&amp;"*",[5]Sheet1!$A$1:$F$93,5,FALSE)="",MID(VLOOKUP("*"&amp;F25&amp;"*",[5]Sheet1!$A$1:$F$93,4,FALSE),5,8)&amp;VLOOKUP("*"&amp;F25&amp;"*",[5]Sheet1!$A$1:$F$93,6,FALSE),VLOOKUP("*"&amp;F25&amp;"*",[5]Sheet1!$A$1:$F$93,5,FALSE)&amp;VLOOKUP("*"&amp;F25&amp;"*",[5]Sheet1!$A$1:$F$93,6,FALSE)))</f>
        <v/>
      </c>
      <c r="F26" s="422"/>
      <c r="G26" s="421" t="str">
        <f>IF(ISNA(VLOOKUP("*"&amp;H25&amp;"*",[5]Sheet1!$A$1:$F$93,5,FALSE)),"",IF(VLOOKUP("*"&amp;H25&amp;"*",[5]Sheet1!$A$1:$F$93,5,FALSE)="",MID(VLOOKUP("*"&amp;H25&amp;"*",[5]Sheet1!$A$1:$F$93,4,FALSE),5,8)&amp;VLOOKUP("*"&amp;H25&amp;"*",[5]Sheet1!$A$1:$F$93,6,FALSE),VLOOKUP("*"&amp;H25&amp;"*",[5]Sheet1!$A$1:$F$93,5,FALSE)&amp;VLOOKUP("*"&amp;H25&amp;"*",[5]Sheet1!$A$1:$F$93,6,FALSE)))</f>
        <v/>
      </c>
      <c r="H26" s="422"/>
      <c r="I26" s="421" t="str">
        <f>IF(ISNA(VLOOKUP("*"&amp;J25&amp;"*",[5]Sheet1!$A$1:$F$93,5,FALSE)),"",IF(VLOOKUP("*"&amp;J25&amp;"*",[5]Sheet1!$A$1:$F$93,5,FALSE)="",MID(VLOOKUP("*"&amp;J25&amp;"*",[5]Sheet1!$A$1:$F$93,4,FALSE),5,8)&amp;VLOOKUP("*"&amp;J25&amp;"*",[5]Sheet1!$A$1:$F$93,6,FALSE),VLOOKUP("*"&amp;J25&amp;"*",[5]Sheet1!$A$1:$F$93,5,FALSE)&amp;VLOOKUP("*"&amp;J25&amp;"*",[5]Sheet1!$A$1:$F$93,6,FALSE)))</f>
        <v/>
      </c>
      <c r="J26" s="422"/>
      <c r="K26" s="506"/>
      <c r="L26" s="421" t="str">
        <f>IF(ISNA(VLOOKUP("*"&amp;M25&amp;"*",[5]Sheet1!$A$1:$F$93,5,FALSE)),"",IF(VLOOKUP("*"&amp;M25&amp;"*",[5]Sheet1!$A$1:$F$93,5,FALSE)="",MID(VLOOKUP("*"&amp;M25&amp;"*",[5]Sheet1!$A$1:$F$93,4,FALSE),5,8)&amp;VLOOKUP("*"&amp;M25&amp;"*",[5]Sheet1!$A$1:$F$93,6,FALSE),VLOOKUP("*"&amp;M25&amp;"*",[5]Sheet1!$A$1:$F$93,5,FALSE)&amp;VLOOKUP("*"&amp;M25&amp;"*",[5]Sheet1!$A$1:$F$93,6,FALSE)))</f>
        <v/>
      </c>
      <c r="M26" s="422"/>
      <c r="N26" s="421" t="str">
        <f>IF(ISNA(VLOOKUP("*"&amp;O25&amp;"*",[5]Sheet1!$A$1:$F$93,5,FALSE)),"",IF(VLOOKUP("*"&amp;O25&amp;"*",[5]Sheet1!$A$1:$F$93,5,FALSE)="",MID(VLOOKUP("*"&amp;O25&amp;"*",[5]Sheet1!$A$1:$F$93,4,FALSE),5,8)&amp;VLOOKUP("*"&amp;O25&amp;"*",[5]Sheet1!$A$1:$F$93,6,FALSE),VLOOKUP("*"&amp;O25&amp;"*",[5]Sheet1!$A$1:$F$93,5,FALSE)&amp;VLOOKUP("*"&amp;O25&amp;"*",[5]Sheet1!$A$1:$F$93,6,FALSE)))</f>
        <v/>
      </c>
      <c r="O26" s="422"/>
      <c r="P26" s="421" t="str">
        <f>IF(ISNA(VLOOKUP("*"&amp;Q25&amp;"*",[5]Sheet1!$A$1:$F$93,5,FALSE)),"",IF(VLOOKUP("*"&amp;Q25&amp;"*",[5]Sheet1!$A$1:$F$93,5,FALSE)="",MID(VLOOKUP("*"&amp;Q25&amp;"*",[5]Sheet1!$A$1:$F$93,4,FALSE),5,8)&amp;VLOOKUP("*"&amp;Q25&amp;"*",[5]Sheet1!$A$1:$F$93,6,FALSE),VLOOKUP("*"&amp;Q25&amp;"*",[5]Sheet1!$A$1:$F$93,5,FALSE)&amp;VLOOKUP("*"&amp;Q25&amp;"*",[5]Sheet1!$A$1:$F$93,6,FALSE)))</f>
        <v/>
      </c>
      <c r="Q26" s="422"/>
      <c r="R26" s="421" t="str">
        <f>IF(ISNA(VLOOKUP("*"&amp;S25&amp;"*",[5]Sheet1!$A$1:$F$93,5,FALSE)),"",IF(VLOOKUP("*"&amp;S25&amp;"*",[5]Sheet1!$A$1:$F$93,5,FALSE)="",MID(VLOOKUP("*"&amp;S25&amp;"*",[5]Sheet1!$A$1:$F$93,4,FALSE),5,8)&amp;VLOOKUP("*"&amp;S25&amp;"*",[5]Sheet1!$A$1:$F$93,6,FALSE),VLOOKUP("*"&amp;S25&amp;"*",[5]Sheet1!$A$1:$F$93,5,FALSE)&amp;VLOOKUP("*"&amp;S25&amp;"*",[5]Sheet1!$A$1:$F$93,6,FALSE)))</f>
        <v/>
      </c>
      <c r="S26" s="422"/>
      <c r="T26" s="421" t="str">
        <f>IF(ISNA(VLOOKUP("*"&amp;U25&amp;"*",[5]Sheet1!$A$1:$F$93,5,FALSE)),"",IF(VLOOKUP("*"&amp;U25&amp;"*",[5]Sheet1!$A$1:$F$93,5,FALSE)="",MID(VLOOKUP("*"&amp;U25&amp;"*",[5]Sheet1!$A$1:$F$93,4,FALSE),5,8)&amp;VLOOKUP("*"&amp;U25&amp;"*",[5]Sheet1!$A$1:$F$93,6,FALSE),VLOOKUP("*"&amp;U25&amp;"*",[5]Sheet1!$A$1:$F$93,5,FALSE)&amp;VLOOKUP("*"&amp;U25&amp;"*",[5]Sheet1!$A$1:$F$93,6,FALSE)))</f>
        <v/>
      </c>
      <c r="U26" s="422"/>
    </row>
    <row r="27" spans="1:26" ht="15.6">
      <c r="A27" s="423"/>
      <c r="B27" s="424"/>
      <c r="C27" s="425"/>
      <c r="D27" s="426"/>
      <c r="E27" s="427"/>
      <c r="F27" s="426"/>
      <c r="G27" s="427"/>
      <c r="H27" s="426"/>
      <c r="I27" s="460"/>
      <c r="J27" s="522"/>
      <c r="K27" s="496"/>
      <c r="L27" s="429"/>
      <c r="M27" s="509"/>
      <c r="N27" s="427"/>
      <c r="O27" s="509"/>
      <c r="P27" s="427"/>
      <c r="Q27" s="509"/>
      <c r="R27" s="427"/>
      <c r="S27" s="509"/>
      <c r="T27" s="434" t="s">
        <v>197</v>
      </c>
      <c r="U27" s="435"/>
    </row>
    <row r="28" spans="1:26" ht="17.399999999999999">
      <c r="A28" s="523"/>
      <c r="B28" s="511"/>
      <c r="C28" s="456"/>
      <c r="D28" s="461"/>
      <c r="E28" s="438"/>
      <c r="F28" s="461"/>
      <c r="G28" s="438"/>
      <c r="H28" s="524"/>
      <c r="I28" s="525"/>
      <c r="J28" s="526"/>
      <c r="K28" s="496"/>
      <c r="L28" s="515"/>
      <c r="M28" s="516"/>
      <c r="N28" s="460"/>
      <c r="O28" s="517"/>
      <c r="P28" s="460"/>
      <c r="Q28" s="517"/>
      <c r="R28" s="460"/>
      <c r="S28" s="517"/>
      <c r="T28" s="460"/>
      <c r="U28" s="527"/>
    </row>
    <row r="29" spans="1:26" ht="15.6">
      <c r="A29" s="411" t="s">
        <v>289</v>
      </c>
      <c r="B29" s="412" t="s">
        <v>349</v>
      </c>
      <c r="C29" s="413" t="s">
        <v>289</v>
      </c>
      <c r="D29" s="412" t="s">
        <v>350</v>
      </c>
      <c r="E29" s="413" t="s">
        <v>289</v>
      </c>
      <c r="F29" s="454" t="s">
        <v>351</v>
      </c>
      <c r="G29" s="413" t="s">
        <v>289</v>
      </c>
      <c r="H29" s="412" t="s">
        <v>352</v>
      </c>
      <c r="I29" s="413" t="s">
        <v>289</v>
      </c>
      <c r="J29" s="414" t="s">
        <v>353</v>
      </c>
      <c r="K29" s="496"/>
      <c r="L29" s="415" t="s">
        <v>289</v>
      </c>
      <c r="M29" s="528" t="s">
        <v>354</v>
      </c>
      <c r="N29" s="413" t="s">
        <v>289</v>
      </c>
      <c r="O29" s="418" t="s">
        <v>355</v>
      </c>
      <c r="P29" s="413" t="s">
        <v>289</v>
      </c>
      <c r="Q29" s="418" t="s">
        <v>356</v>
      </c>
      <c r="R29" s="413" t="s">
        <v>289</v>
      </c>
      <c r="S29" s="418" t="s">
        <v>357</v>
      </c>
      <c r="T29" s="413" t="s">
        <v>289</v>
      </c>
      <c r="U29" s="505" t="s">
        <v>358</v>
      </c>
    </row>
    <row r="30" spans="1:26" ht="15.6">
      <c r="A30" s="421" t="str">
        <f>IF(ISNA(VLOOKUP("*"&amp;B29&amp;"*",[5]Sheet1!$A$1:$F$93,5,FALSE)),"",IF(VLOOKUP("*"&amp;B29&amp;"*",[5]Sheet1!$A$1:$F$93,5,FALSE)="",MID(VLOOKUP("*"&amp;B29&amp;"*",[5]Sheet1!$A$1:$F$93,4,FALSE),5,8)&amp;VLOOKUP("*"&amp;B29&amp;"*",[5]Sheet1!$A$1:$F$93,6,FALSE),VLOOKUP("*"&amp;B29&amp;"*",[5]Sheet1!$A$1:$F$93,5,FALSE)&amp;VLOOKUP("*"&amp;B29&amp;"*",[5]Sheet1!$A$1:$F$93,6,FALSE)))</f>
        <v/>
      </c>
      <c r="B30" s="422"/>
      <c r="C30" s="421" t="str">
        <f>IF(ISNA(VLOOKUP("*"&amp;D29&amp;"*",[5]Sheet1!$A$1:$F$93,5,FALSE)),"",IF(VLOOKUP("*"&amp;D29&amp;"*",[5]Sheet1!$A$1:$F$93,5,FALSE)="",MID(VLOOKUP("*"&amp;D29&amp;"*",[5]Sheet1!$A$1:$F$93,4,FALSE),5,8)&amp;VLOOKUP("*"&amp;D29&amp;"*",[5]Sheet1!$A$1:$F$93,6,FALSE),VLOOKUP("*"&amp;D29&amp;"*",[5]Sheet1!$A$1:$F$93,5,FALSE)&amp;VLOOKUP("*"&amp;D29&amp;"*",[5]Sheet1!$A$1:$F$93,6,FALSE)))</f>
        <v/>
      </c>
      <c r="D30" s="422"/>
      <c r="E30" s="421" t="str">
        <f>IF(ISNA(VLOOKUP("*"&amp;F29&amp;"*",[5]Sheet1!$A$1:$F$93,5,FALSE)),"",IF(VLOOKUP("*"&amp;F29&amp;"*",[5]Sheet1!$A$1:$F$93,5,FALSE)="",MID(VLOOKUP("*"&amp;F29&amp;"*",[5]Sheet1!$A$1:$F$93,4,FALSE),5,8)&amp;VLOOKUP("*"&amp;F29&amp;"*",[5]Sheet1!$A$1:$F$93,6,FALSE),VLOOKUP("*"&amp;F29&amp;"*",[5]Sheet1!$A$1:$F$93,5,FALSE)&amp;VLOOKUP("*"&amp;F29&amp;"*",[5]Sheet1!$A$1:$F$93,6,FALSE)))</f>
        <v/>
      </c>
      <c r="F30" s="422"/>
      <c r="G30" s="421" t="str">
        <f>IF(ISNA(VLOOKUP("*"&amp;H29&amp;"*",[5]Sheet1!$A$1:$F$93,5,FALSE)),"",IF(VLOOKUP("*"&amp;H29&amp;"*",[5]Sheet1!$A$1:$F$93,5,FALSE)="",MID(VLOOKUP("*"&amp;H29&amp;"*",[5]Sheet1!$A$1:$F$93,4,FALSE),5,8)&amp;VLOOKUP("*"&amp;H29&amp;"*",[5]Sheet1!$A$1:$F$93,6,FALSE),VLOOKUP("*"&amp;H29&amp;"*",[5]Sheet1!$A$1:$F$93,5,FALSE)&amp;VLOOKUP("*"&amp;H29&amp;"*",[5]Sheet1!$A$1:$F$93,6,FALSE)))</f>
        <v/>
      </c>
      <c r="H30" s="422"/>
      <c r="I30" s="421" t="str">
        <f>IF(ISNA(VLOOKUP("*"&amp;J29&amp;"*",[5]Sheet1!$A$1:$F$93,5,FALSE)),"",IF(VLOOKUP("*"&amp;J29&amp;"*",[5]Sheet1!$A$1:$F$93,5,FALSE)="",MID(VLOOKUP("*"&amp;J29&amp;"*",[5]Sheet1!$A$1:$F$93,4,FALSE),5,8)&amp;VLOOKUP("*"&amp;J29&amp;"*",[5]Sheet1!$A$1:$F$93,6,FALSE),VLOOKUP("*"&amp;J29&amp;"*",[5]Sheet1!$A$1:$F$93,5,FALSE)&amp;VLOOKUP("*"&amp;J29&amp;"*",[5]Sheet1!$A$1:$F$93,6,FALSE)))</f>
        <v/>
      </c>
      <c r="J30" s="422"/>
      <c r="K30" s="506"/>
      <c r="L30" s="421" t="str">
        <f>IF(ISNA(VLOOKUP("*"&amp;M29&amp;"*",[5]Sheet1!$A$1:$F$93,5,FALSE)),"",IF(VLOOKUP("*"&amp;M29&amp;"*",[5]Sheet1!$A$1:$F$93,5,FALSE)="",MID(VLOOKUP("*"&amp;M29&amp;"*",[5]Sheet1!$A$1:$F$93,4,FALSE),5,8)&amp;VLOOKUP("*"&amp;M29&amp;"*",[5]Sheet1!$A$1:$F$93,6,FALSE),VLOOKUP("*"&amp;M29&amp;"*",[5]Sheet1!$A$1:$F$93,5,FALSE)&amp;VLOOKUP("*"&amp;M29&amp;"*",[5]Sheet1!$A$1:$F$93,6,FALSE)))</f>
        <v/>
      </c>
      <c r="M30" s="422"/>
      <c r="N30" s="421" t="str">
        <f>IF(ISNA(VLOOKUP("*"&amp;O29&amp;"*",[5]Sheet1!$A$1:$F$93,5,FALSE)),"",IF(VLOOKUP("*"&amp;O29&amp;"*",[5]Sheet1!$A$1:$F$93,5,FALSE)="",MID(VLOOKUP("*"&amp;O29&amp;"*",[5]Sheet1!$A$1:$F$93,4,FALSE),5,8)&amp;VLOOKUP("*"&amp;O29&amp;"*",[5]Sheet1!$A$1:$F$93,6,FALSE),VLOOKUP("*"&amp;O29&amp;"*",[5]Sheet1!$A$1:$F$93,5,FALSE)&amp;VLOOKUP("*"&amp;O29&amp;"*",[5]Sheet1!$A$1:$F$93,6,FALSE)))</f>
        <v/>
      </c>
      <c r="O30" s="422"/>
      <c r="P30" s="421" t="str">
        <f>IF(ISNA(VLOOKUP("*"&amp;Q29&amp;"*",[5]Sheet1!$A$1:$F$93,5,FALSE)),"",IF(VLOOKUP("*"&amp;Q29&amp;"*",[5]Sheet1!$A$1:$F$93,5,FALSE)="",MID(VLOOKUP("*"&amp;Q29&amp;"*",[5]Sheet1!$A$1:$F$93,4,FALSE),5,8)&amp;VLOOKUP("*"&amp;Q29&amp;"*",[5]Sheet1!$A$1:$F$93,6,FALSE),VLOOKUP("*"&amp;Q29&amp;"*",[5]Sheet1!$A$1:$F$93,5,FALSE)&amp;VLOOKUP("*"&amp;Q29&amp;"*",[5]Sheet1!$A$1:$F$93,6,FALSE)))</f>
        <v/>
      </c>
      <c r="Q30" s="422"/>
      <c r="R30" s="421" t="str">
        <f>IF(ISNA(VLOOKUP("*"&amp;S29&amp;"*",[5]Sheet1!$A$1:$F$93,5,FALSE)),"",IF(VLOOKUP("*"&amp;S29&amp;"*",[5]Sheet1!$A$1:$F$93,5,FALSE)="",MID(VLOOKUP("*"&amp;S29&amp;"*",[5]Sheet1!$A$1:$F$93,4,FALSE),5,8)&amp;VLOOKUP("*"&amp;S29&amp;"*",[5]Sheet1!$A$1:$F$93,6,FALSE),VLOOKUP("*"&amp;S29&amp;"*",[5]Sheet1!$A$1:$F$93,5,FALSE)&amp;VLOOKUP("*"&amp;S29&amp;"*",[5]Sheet1!$A$1:$F$93,6,FALSE)))</f>
        <v/>
      </c>
      <c r="S30" s="422"/>
      <c r="T30" s="421" t="str">
        <f>IF(ISNA(VLOOKUP("*"&amp;U29&amp;"*",[5]Sheet1!$A$1:$F$93,5,FALSE)),"",IF(VLOOKUP("*"&amp;U29&amp;"*",[5]Sheet1!$A$1:$F$93,5,FALSE)="",MID(VLOOKUP("*"&amp;U29&amp;"*",[5]Sheet1!$A$1:$F$93,4,FALSE),5,8)&amp;VLOOKUP("*"&amp;U29&amp;"*",[5]Sheet1!$A$1:$F$93,6,FALSE),VLOOKUP("*"&amp;U29&amp;"*",[5]Sheet1!$A$1:$F$93,5,FALSE)&amp;VLOOKUP("*"&amp;U29&amp;"*",[5]Sheet1!$A$1:$F$93,6,FALSE)))</f>
        <v/>
      </c>
      <c r="U30" s="422"/>
    </row>
    <row r="31" spans="1:26" ht="16.2" thickBot="1">
      <c r="A31" s="473"/>
      <c r="B31" s="476"/>
      <c r="C31" s="477"/>
      <c r="D31" s="476"/>
      <c r="E31" s="477"/>
      <c r="F31" s="476"/>
      <c r="G31" s="477"/>
      <c r="H31" s="474"/>
      <c r="I31" s="529"/>
      <c r="J31" s="530"/>
      <c r="K31" s="506"/>
      <c r="L31" s="531"/>
      <c r="M31" s="532"/>
      <c r="N31" s="483"/>
      <c r="O31" s="532"/>
      <c r="P31" s="533"/>
      <c r="Q31" s="532"/>
      <c r="R31" s="533"/>
      <c r="S31" s="532"/>
      <c r="T31" s="483"/>
      <c r="U31" s="534"/>
    </row>
    <row r="32" spans="1:26" ht="15" thickTop="1">
      <c r="A32" s="535" t="s">
        <v>359</v>
      </c>
      <c r="B32" s="393"/>
      <c r="C32" s="393"/>
      <c r="D32" s="393"/>
      <c r="E32" s="393"/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</row>
  </sheetData>
  <mergeCells count="218">
    <mergeCell ref="N31:O31"/>
    <mergeCell ref="P31:Q31"/>
    <mergeCell ref="R31:S31"/>
    <mergeCell ref="T31:U31"/>
    <mergeCell ref="A32:U32"/>
    <mergeCell ref="N30:O30"/>
    <mergeCell ref="P30:Q30"/>
    <mergeCell ref="R30:S30"/>
    <mergeCell ref="T30:U30"/>
    <mergeCell ref="A31:B31"/>
    <mergeCell ref="C31:D31"/>
    <mergeCell ref="E31:F31"/>
    <mergeCell ref="G31:H31"/>
    <mergeCell ref="I31:J31"/>
    <mergeCell ref="L31:M31"/>
    <mergeCell ref="N28:O28"/>
    <mergeCell ref="P28:Q28"/>
    <mergeCell ref="R28:S28"/>
    <mergeCell ref="T28:U28"/>
    <mergeCell ref="A30:B30"/>
    <mergeCell ref="C30:D30"/>
    <mergeCell ref="E30:F30"/>
    <mergeCell ref="G30:H30"/>
    <mergeCell ref="I30:J30"/>
    <mergeCell ref="L30:M30"/>
    <mergeCell ref="N27:O27"/>
    <mergeCell ref="P27:Q27"/>
    <mergeCell ref="R27:S27"/>
    <mergeCell ref="T27:U27"/>
    <mergeCell ref="A28:B28"/>
    <mergeCell ref="C28:D28"/>
    <mergeCell ref="E28:F28"/>
    <mergeCell ref="G28:H28"/>
    <mergeCell ref="I28:J28"/>
    <mergeCell ref="L28:M28"/>
    <mergeCell ref="N26:O26"/>
    <mergeCell ref="P26:Q26"/>
    <mergeCell ref="R26:S26"/>
    <mergeCell ref="T26:U26"/>
    <mergeCell ref="A27:B27"/>
    <mergeCell ref="C27:D27"/>
    <mergeCell ref="E27:F27"/>
    <mergeCell ref="G27:H27"/>
    <mergeCell ref="I27:J27"/>
    <mergeCell ref="L27:M27"/>
    <mergeCell ref="N24:O24"/>
    <mergeCell ref="P24:Q24"/>
    <mergeCell ref="R24:S24"/>
    <mergeCell ref="T24:U24"/>
    <mergeCell ref="A26:B26"/>
    <mergeCell ref="C26:D26"/>
    <mergeCell ref="E26:F26"/>
    <mergeCell ref="G26:H26"/>
    <mergeCell ref="I26:J26"/>
    <mergeCell ref="L26:M26"/>
    <mergeCell ref="N23:O23"/>
    <mergeCell ref="P23:Q23"/>
    <mergeCell ref="R23:S23"/>
    <mergeCell ref="T23:U23"/>
    <mergeCell ref="A24:B24"/>
    <mergeCell ref="C24:D24"/>
    <mergeCell ref="E24:F24"/>
    <mergeCell ref="G24:H24"/>
    <mergeCell ref="I24:J24"/>
    <mergeCell ref="L24:M24"/>
    <mergeCell ref="N22:O22"/>
    <mergeCell ref="P22:Q22"/>
    <mergeCell ref="R22:S22"/>
    <mergeCell ref="T22:U22"/>
    <mergeCell ref="A23:B23"/>
    <mergeCell ref="C23:D23"/>
    <mergeCell ref="E23:F23"/>
    <mergeCell ref="G23:H23"/>
    <mergeCell ref="I23:J23"/>
    <mergeCell ref="L23:M23"/>
    <mergeCell ref="N20:O20"/>
    <mergeCell ref="P20:Q20"/>
    <mergeCell ref="R20:S20"/>
    <mergeCell ref="T20:U20"/>
    <mergeCell ref="A22:B22"/>
    <mergeCell ref="C22:D22"/>
    <mergeCell ref="E22:F22"/>
    <mergeCell ref="G22:H22"/>
    <mergeCell ref="I22:J22"/>
    <mergeCell ref="L22:M22"/>
    <mergeCell ref="A20:B20"/>
    <mergeCell ref="C20:D20"/>
    <mergeCell ref="E20:F20"/>
    <mergeCell ref="G20:H20"/>
    <mergeCell ref="I20:J20"/>
    <mergeCell ref="L20:M20"/>
    <mergeCell ref="P18:Q18"/>
    <mergeCell ref="R18:S18"/>
    <mergeCell ref="T18:U18"/>
    <mergeCell ref="C19:D19"/>
    <mergeCell ref="E19:F19"/>
    <mergeCell ref="G19:H19"/>
    <mergeCell ref="I19:J19"/>
    <mergeCell ref="P17:Q17"/>
    <mergeCell ref="R17:S17"/>
    <mergeCell ref="T17:U17"/>
    <mergeCell ref="A18:B18"/>
    <mergeCell ref="C18:D18"/>
    <mergeCell ref="E18:F18"/>
    <mergeCell ref="G18:H18"/>
    <mergeCell ref="I18:J18"/>
    <mergeCell ref="L18:M18"/>
    <mergeCell ref="N18:O18"/>
    <mergeCell ref="P15:Q15"/>
    <mergeCell ref="R15:S15"/>
    <mergeCell ref="T15:U15"/>
    <mergeCell ref="A17:B17"/>
    <mergeCell ref="C17:D17"/>
    <mergeCell ref="E17:F17"/>
    <mergeCell ref="G17:H17"/>
    <mergeCell ref="I17:J17"/>
    <mergeCell ref="L17:M17"/>
    <mergeCell ref="N17:O17"/>
    <mergeCell ref="P14:Q14"/>
    <mergeCell ref="R14:S14"/>
    <mergeCell ref="T14:U14"/>
    <mergeCell ref="A15:B15"/>
    <mergeCell ref="C15:D15"/>
    <mergeCell ref="E15:F15"/>
    <mergeCell ref="G15:H15"/>
    <mergeCell ref="I15:J15"/>
    <mergeCell ref="L15:M15"/>
    <mergeCell ref="N15:O15"/>
    <mergeCell ref="P13:Q13"/>
    <mergeCell ref="R13:S13"/>
    <mergeCell ref="T13:U13"/>
    <mergeCell ref="A14:B14"/>
    <mergeCell ref="C14:D14"/>
    <mergeCell ref="E14:F14"/>
    <mergeCell ref="G14:H14"/>
    <mergeCell ref="I14:J14"/>
    <mergeCell ref="L14:M14"/>
    <mergeCell ref="N14:O14"/>
    <mergeCell ref="P11:Q11"/>
    <mergeCell ref="R11:S11"/>
    <mergeCell ref="T11:U11"/>
    <mergeCell ref="A13:B13"/>
    <mergeCell ref="C13:D13"/>
    <mergeCell ref="E13:F13"/>
    <mergeCell ref="G13:H13"/>
    <mergeCell ref="I13:J13"/>
    <mergeCell ref="L13:M13"/>
    <mergeCell ref="N13:O13"/>
    <mergeCell ref="P10:Q10"/>
    <mergeCell ref="R10:S10"/>
    <mergeCell ref="T10:U10"/>
    <mergeCell ref="A11:B11"/>
    <mergeCell ref="C11:D11"/>
    <mergeCell ref="E11:F11"/>
    <mergeCell ref="G11:H11"/>
    <mergeCell ref="I11:J11"/>
    <mergeCell ref="L11:M11"/>
    <mergeCell ref="N11:O11"/>
    <mergeCell ref="P9:Q9"/>
    <mergeCell ref="R9:S9"/>
    <mergeCell ref="T9:U9"/>
    <mergeCell ref="A10:B10"/>
    <mergeCell ref="C10:D10"/>
    <mergeCell ref="E10:F10"/>
    <mergeCell ref="G10:H10"/>
    <mergeCell ref="I10:J10"/>
    <mergeCell ref="L10:M10"/>
    <mergeCell ref="N10:O10"/>
    <mergeCell ref="P7:Q7"/>
    <mergeCell ref="R7:S7"/>
    <mergeCell ref="T7:U7"/>
    <mergeCell ref="A9:B9"/>
    <mergeCell ref="C9:D9"/>
    <mergeCell ref="E9:F9"/>
    <mergeCell ref="G9:H9"/>
    <mergeCell ref="I9:J9"/>
    <mergeCell ref="L9:M9"/>
    <mergeCell ref="N9:O9"/>
    <mergeCell ref="P6:Q6"/>
    <mergeCell ref="R6:S6"/>
    <mergeCell ref="T6:U6"/>
    <mergeCell ref="A7:B7"/>
    <mergeCell ref="C7:D7"/>
    <mergeCell ref="E7:F7"/>
    <mergeCell ref="G7:H7"/>
    <mergeCell ref="I7:J7"/>
    <mergeCell ref="L7:M7"/>
    <mergeCell ref="N7:O7"/>
    <mergeCell ref="P5:Q5"/>
    <mergeCell ref="R5:S5"/>
    <mergeCell ref="T5:U5"/>
    <mergeCell ref="A6:B6"/>
    <mergeCell ref="C6:D6"/>
    <mergeCell ref="E6:F6"/>
    <mergeCell ref="G6:H6"/>
    <mergeCell ref="I6:J6"/>
    <mergeCell ref="L6:M6"/>
    <mergeCell ref="N6:O6"/>
    <mergeCell ref="P3:Q3"/>
    <mergeCell ref="R3:S3"/>
    <mergeCell ref="T3:U3"/>
    <mergeCell ref="A5:B5"/>
    <mergeCell ref="C5:D5"/>
    <mergeCell ref="E5:F5"/>
    <mergeCell ref="G5:H5"/>
    <mergeCell ref="I5:J5"/>
    <mergeCell ref="L5:M5"/>
    <mergeCell ref="N5:O5"/>
    <mergeCell ref="A1:U1"/>
    <mergeCell ref="C2:F2"/>
    <mergeCell ref="R2:U2"/>
    <mergeCell ref="A3:B3"/>
    <mergeCell ref="C3:D3"/>
    <mergeCell ref="E3:F3"/>
    <mergeCell ref="G3:H3"/>
    <mergeCell ref="I3:J3"/>
    <mergeCell ref="L3:M3"/>
    <mergeCell ref="N3:O3"/>
  </mergeCells>
  <conditionalFormatting sqref="K31 K26 A5:J5 A9:J9 A13:K13 A17:K17 A22:K22 A30:K30">
    <cfRule type="notContainsBlanks" dxfId="8" priority="9">
      <formula>LEN(TRIM(A5))&gt;0</formula>
    </cfRule>
  </conditionalFormatting>
  <conditionalFormatting sqref="L5:U5">
    <cfRule type="notContainsBlanks" dxfId="7" priority="8">
      <formula>LEN(TRIM(L5))&gt;0</formula>
    </cfRule>
  </conditionalFormatting>
  <conditionalFormatting sqref="L9:U9">
    <cfRule type="notContainsBlanks" dxfId="6" priority="7">
      <formula>LEN(TRIM(L9))&gt;0</formula>
    </cfRule>
  </conditionalFormatting>
  <conditionalFormatting sqref="L13:U13">
    <cfRule type="notContainsBlanks" dxfId="5" priority="6">
      <formula>LEN(TRIM(L13))&gt;0</formula>
    </cfRule>
  </conditionalFormatting>
  <conditionalFormatting sqref="L17:U17">
    <cfRule type="notContainsBlanks" dxfId="4" priority="5">
      <formula>LEN(TRIM(L17))&gt;0</formula>
    </cfRule>
  </conditionalFormatting>
  <conditionalFormatting sqref="L22:U22">
    <cfRule type="notContainsBlanks" dxfId="3" priority="4">
      <formula>LEN(TRIM(L22))&gt;0</formula>
    </cfRule>
  </conditionalFormatting>
  <conditionalFormatting sqref="A26:J26">
    <cfRule type="notContainsBlanks" dxfId="2" priority="3">
      <formula>LEN(TRIM(A26))&gt;0</formula>
    </cfRule>
  </conditionalFormatting>
  <conditionalFormatting sqref="L26:U26">
    <cfRule type="notContainsBlanks" dxfId="1" priority="2">
      <formula>LEN(TRIM(L26))&gt;0</formula>
    </cfRule>
  </conditionalFormatting>
  <conditionalFormatting sqref="L30:U30">
    <cfRule type="notContainsBlanks" dxfId="0" priority="1">
      <formula>LEN(TRIM(L30))&gt;0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B车间</vt:lpstr>
      <vt:lpstr>C车间</vt:lpstr>
      <vt:lpstr>D车间</vt:lpstr>
      <vt:lpstr>E车间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2024-09-01T06:45:42Z</dcterms:modified>
</cp:coreProperties>
</file>