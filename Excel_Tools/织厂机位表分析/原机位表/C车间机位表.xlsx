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2000790\Desktop\机位表\"/>
    </mc:Choice>
  </mc:AlternateContent>
  <bookViews>
    <workbookView xWindow="0" yWindow="0" windowWidth="28800" windowHeight="11910"/>
  </bookViews>
  <sheets>
    <sheet name="C車間" sheetId="1" r:id="rId1"/>
    <sheet name="Sheet1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6" i="1" l="1"/>
  <c r="T30" i="1"/>
  <c r="R30" i="1"/>
  <c r="P30" i="1"/>
  <c r="N30" i="1"/>
  <c r="L30" i="1"/>
  <c r="T26" i="1"/>
  <c r="R26" i="1"/>
  <c r="P26" i="1"/>
  <c r="N26" i="1"/>
  <c r="T22" i="1"/>
  <c r="R22" i="1"/>
  <c r="P22" i="1"/>
  <c r="N22" i="1"/>
  <c r="L22" i="1"/>
  <c r="I30" i="1"/>
  <c r="G30" i="1"/>
  <c r="E30" i="1"/>
  <c r="C30" i="1"/>
  <c r="A30" i="1"/>
  <c r="I26" i="1"/>
  <c r="G26" i="1"/>
  <c r="E26" i="1"/>
  <c r="C26" i="1"/>
  <c r="A26" i="1"/>
  <c r="I22" i="1"/>
  <c r="G22" i="1"/>
  <c r="E22" i="1"/>
  <c r="C22" i="1"/>
  <c r="A22" i="1"/>
  <c r="T17" i="1"/>
  <c r="R17" i="1"/>
  <c r="P17" i="1"/>
  <c r="N17" i="1"/>
  <c r="L17" i="1"/>
  <c r="I17" i="1"/>
  <c r="G17" i="1"/>
  <c r="E17" i="1"/>
  <c r="C17" i="1"/>
  <c r="A17" i="1"/>
  <c r="T13" i="1"/>
  <c r="R13" i="1"/>
  <c r="P13" i="1"/>
  <c r="N13" i="1"/>
  <c r="L13" i="1"/>
  <c r="I13" i="1"/>
  <c r="G13" i="1"/>
  <c r="E13" i="1"/>
  <c r="C13" i="1"/>
  <c r="A13" i="1"/>
  <c r="T9" i="1"/>
  <c r="R9" i="1"/>
  <c r="P9" i="1"/>
  <c r="N9" i="1"/>
  <c r="L9" i="1"/>
  <c r="I9" i="1"/>
  <c r="G9" i="1"/>
  <c r="E9" i="1"/>
  <c r="C9" i="1"/>
  <c r="A9" i="1"/>
  <c r="T5" i="1"/>
  <c r="R5" i="1"/>
  <c r="P5" i="1"/>
  <c r="N5" i="1"/>
  <c r="L5" i="1"/>
  <c r="I5" i="1"/>
  <c r="G5" i="1"/>
  <c r="E5" i="1"/>
  <c r="C5" i="1"/>
  <c r="A5" i="1" l="1"/>
  <c r="R2" i="1" l="1"/>
</calcChain>
</file>

<file path=xl/sharedStrings.xml><?xml version="1.0" encoding="utf-8"?>
<sst xmlns="http://schemas.openxmlformats.org/spreadsheetml/2006/main" count="238" uniqueCount="84">
  <si>
    <t>BOD03186A01</t>
  </si>
  <si>
    <t>M72</t>
    <phoneticPr fontId="0" type="noConversion"/>
  </si>
  <si>
    <t>CAC2</t>
    <phoneticPr fontId="0" type="noConversion"/>
  </si>
  <si>
    <t>CAD2</t>
    <phoneticPr fontId="0" type="noConversion"/>
  </si>
  <si>
    <t>CAE2</t>
    <phoneticPr fontId="0" type="noConversion"/>
  </si>
  <si>
    <t>CAF2</t>
    <phoneticPr fontId="0" type="noConversion"/>
  </si>
  <si>
    <t>CAG2</t>
    <phoneticPr fontId="0" type="noConversion"/>
  </si>
  <si>
    <t>CAH2</t>
    <phoneticPr fontId="0" type="noConversion"/>
  </si>
  <si>
    <t>CAI2</t>
    <phoneticPr fontId="0" type="noConversion"/>
  </si>
  <si>
    <t>CAJ2</t>
    <phoneticPr fontId="0" type="noConversion"/>
  </si>
  <si>
    <t>CAK2</t>
    <phoneticPr fontId="0" type="noConversion"/>
  </si>
  <si>
    <t>CAL2</t>
    <phoneticPr fontId="0" type="noConversion"/>
  </si>
  <si>
    <t>28G34(2976)</t>
    <phoneticPr fontId="0" type="noConversion"/>
  </si>
  <si>
    <t>CAC3</t>
    <phoneticPr fontId="0" type="noConversion"/>
  </si>
  <si>
    <t>CAD3</t>
    <phoneticPr fontId="0" type="noConversion"/>
  </si>
  <si>
    <t>CAE3</t>
    <phoneticPr fontId="0" type="noConversion"/>
  </si>
  <si>
    <t>CAF3</t>
    <phoneticPr fontId="0" type="noConversion"/>
  </si>
  <si>
    <t>CAG3</t>
    <phoneticPr fontId="0" type="noConversion"/>
  </si>
  <si>
    <t>CAH3</t>
    <phoneticPr fontId="0" type="noConversion"/>
  </si>
  <si>
    <t>CAI3</t>
    <phoneticPr fontId="0" type="noConversion"/>
  </si>
  <si>
    <t>CAJ3</t>
    <phoneticPr fontId="0" type="noConversion"/>
  </si>
  <si>
    <t>CAK3</t>
    <phoneticPr fontId="0" type="noConversion"/>
  </si>
  <si>
    <t>CAL3</t>
    <phoneticPr fontId="0" type="noConversion"/>
  </si>
  <si>
    <t>CAC4</t>
    <phoneticPr fontId="0" type="noConversion"/>
  </si>
  <si>
    <t>CAD4</t>
    <phoneticPr fontId="0" type="noConversion"/>
  </si>
  <si>
    <t>CAE4</t>
    <phoneticPr fontId="0" type="noConversion"/>
  </si>
  <si>
    <t>CAF4</t>
    <phoneticPr fontId="0" type="noConversion"/>
  </si>
  <si>
    <t>CAG4</t>
    <phoneticPr fontId="0" type="noConversion"/>
  </si>
  <si>
    <t>CAH4</t>
    <phoneticPr fontId="0" type="noConversion"/>
  </si>
  <si>
    <t>CAI4</t>
    <phoneticPr fontId="0" type="noConversion"/>
  </si>
  <si>
    <t>CAJ4</t>
    <phoneticPr fontId="0" type="noConversion"/>
  </si>
  <si>
    <t>CAK4</t>
    <phoneticPr fontId="0" type="noConversion"/>
  </si>
  <si>
    <t>CAL4</t>
    <phoneticPr fontId="0" type="noConversion"/>
  </si>
  <si>
    <t>CAC5</t>
    <phoneticPr fontId="0" type="noConversion"/>
  </si>
  <si>
    <t>CAD5</t>
    <phoneticPr fontId="0" type="noConversion"/>
  </si>
  <si>
    <t>CAE5</t>
    <phoneticPr fontId="0" type="noConversion"/>
  </si>
  <si>
    <t>CAF5</t>
    <phoneticPr fontId="0" type="noConversion"/>
  </si>
  <si>
    <t>CAG5</t>
    <phoneticPr fontId="0" type="noConversion"/>
  </si>
  <si>
    <t>CAH5</t>
    <phoneticPr fontId="0" type="noConversion"/>
  </si>
  <si>
    <t>CAI5</t>
    <phoneticPr fontId="0" type="noConversion"/>
  </si>
  <si>
    <t>CAJ5</t>
    <phoneticPr fontId="0" type="noConversion"/>
  </si>
  <si>
    <t>CAK5</t>
    <phoneticPr fontId="0" type="noConversion"/>
  </si>
  <si>
    <t>CAL5</t>
    <phoneticPr fontId="0" type="noConversion"/>
  </si>
  <si>
    <t>BOR05890A18</t>
  </si>
  <si>
    <t>BZH00020A02</t>
  </si>
  <si>
    <t>M76</t>
    <phoneticPr fontId="0" type="noConversion"/>
  </si>
  <si>
    <t>CAC6</t>
    <phoneticPr fontId="0" type="noConversion"/>
  </si>
  <si>
    <t>CAD6</t>
    <phoneticPr fontId="0" type="noConversion"/>
  </si>
  <si>
    <t>CAE6</t>
    <phoneticPr fontId="0" type="noConversion"/>
  </si>
  <si>
    <t>CAF6</t>
    <phoneticPr fontId="0" type="noConversion"/>
  </si>
  <si>
    <t>CAG6</t>
    <phoneticPr fontId="0" type="noConversion"/>
  </si>
  <si>
    <t>B72</t>
    <phoneticPr fontId="0" type="noConversion"/>
  </si>
  <si>
    <t>CAH6</t>
    <phoneticPr fontId="0" type="noConversion"/>
  </si>
  <si>
    <t>CAI6</t>
    <phoneticPr fontId="0" type="noConversion"/>
  </si>
  <si>
    <t>CAJ6</t>
    <phoneticPr fontId="0" type="noConversion"/>
  </si>
  <si>
    <t>CAK6</t>
    <phoneticPr fontId="0" type="noConversion"/>
  </si>
  <si>
    <t>CAL6</t>
    <phoneticPr fontId="0" type="noConversion"/>
  </si>
  <si>
    <t>15G38(1860)</t>
    <phoneticPr fontId="0" type="noConversion"/>
  </si>
  <si>
    <t>24G34(2556)</t>
    <phoneticPr fontId="0" type="noConversion"/>
  </si>
  <si>
    <t>BOI02765A01</t>
  </si>
  <si>
    <t>BZH00027A02</t>
  </si>
  <si>
    <t>CAC7</t>
    <phoneticPr fontId="0" type="noConversion"/>
  </si>
  <si>
    <t>CAD7</t>
    <phoneticPr fontId="0" type="noConversion"/>
  </si>
  <si>
    <t>CAE7</t>
    <phoneticPr fontId="0" type="noConversion"/>
  </si>
  <si>
    <t>CAF7</t>
    <phoneticPr fontId="0" type="noConversion"/>
  </si>
  <si>
    <t>CAG7</t>
    <phoneticPr fontId="0" type="noConversion"/>
  </si>
  <si>
    <t>CAH7</t>
    <phoneticPr fontId="0" type="noConversion"/>
  </si>
  <si>
    <t>CAI7</t>
    <phoneticPr fontId="0" type="noConversion"/>
  </si>
  <si>
    <t>CAJ7</t>
    <phoneticPr fontId="0" type="noConversion"/>
  </si>
  <si>
    <t>CAK7</t>
    <phoneticPr fontId="0" type="noConversion"/>
  </si>
  <si>
    <t>CAL7</t>
    <phoneticPr fontId="0" type="noConversion"/>
  </si>
  <si>
    <t>BOIM0014A01</t>
  </si>
  <si>
    <t>CAC8</t>
    <phoneticPr fontId="0" type="noConversion"/>
  </si>
  <si>
    <t>CAD8</t>
    <phoneticPr fontId="0" type="noConversion"/>
  </si>
  <si>
    <t>CAE8</t>
    <phoneticPr fontId="0" type="noConversion"/>
  </si>
  <si>
    <t>CAF8</t>
    <phoneticPr fontId="0" type="noConversion"/>
  </si>
  <si>
    <t>CAG8</t>
    <phoneticPr fontId="0" type="noConversion"/>
  </si>
  <si>
    <t>CAH8</t>
    <phoneticPr fontId="0" type="noConversion"/>
  </si>
  <si>
    <t>CAI8</t>
    <phoneticPr fontId="0" type="noConversion"/>
  </si>
  <si>
    <t>CAJ8</t>
    <phoneticPr fontId="0" type="noConversion"/>
  </si>
  <si>
    <t>CAK8</t>
    <phoneticPr fontId="0" type="noConversion"/>
  </si>
  <si>
    <t>CAL8</t>
    <phoneticPr fontId="0" type="noConversion"/>
  </si>
  <si>
    <t>靠公司大门方向</t>
    <phoneticPr fontId="0" type="noConversion"/>
  </si>
  <si>
    <t>TOPT織廠C車間排機分布圖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</si>
</sst>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13">
    <font>
      <sz val="11"/>
      <color theme="1"/>
      <name val="Calibri"/>
      <family val="2"/>
      <scheme val="minor"/>
    </font>
    <font>
      <b/>
      <sz val="24"/>
      <name val="微軟正黑體"/>
      <family val="2"/>
      <charset val="136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theme="1"/>
      <name val="微軟正黑體"/>
      <family val="2"/>
    </font>
    <font>
      <b/>
      <sz val="14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6"/>
      <color rgb="FFFF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ck">
        <color indexed="8"/>
      </bottom>
      <diagonal/>
    </border>
    <border>
      <left style="thick">
        <color indexed="64"/>
      </left>
      <right/>
      <top style="thick">
        <color indexed="8"/>
      </top>
      <bottom/>
      <diagonal/>
    </border>
    <border>
      <left/>
      <right style="dotted">
        <color indexed="64"/>
      </right>
      <top style="thick">
        <color indexed="8"/>
      </top>
      <bottom/>
      <diagonal/>
    </border>
    <border>
      <left/>
      <right style="dashed">
        <color indexed="8"/>
      </right>
      <top style="thick">
        <color indexed="64"/>
      </top>
      <bottom/>
      <diagonal/>
    </border>
    <border>
      <left style="dashed">
        <color indexed="14"/>
      </left>
      <right style="dotted">
        <color indexed="64"/>
      </right>
      <top style="thick">
        <color indexed="64"/>
      </top>
      <bottom/>
      <diagonal/>
    </border>
    <border>
      <left style="dashed">
        <color indexed="14"/>
      </left>
      <right style="thick">
        <color indexed="64"/>
      </right>
      <top style="thick">
        <color indexed="64"/>
      </top>
      <bottom/>
      <diagonal/>
    </border>
    <border>
      <left style="thick">
        <color indexed="8"/>
      </left>
      <right/>
      <top style="thick">
        <color indexed="8"/>
      </top>
      <bottom/>
      <diagonal/>
    </border>
    <border>
      <left style="thick">
        <color indexed="8"/>
      </left>
      <right style="dotted">
        <color indexed="64"/>
      </right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 style="thick">
        <color indexed="8"/>
      </left>
      <right style="dotted">
        <color rgb="FF080808"/>
      </right>
      <top style="thick">
        <color indexed="8"/>
      </top>
      <bottom/>
      <diagonal/>
    </border>
    <border>
      <left/>
      <right style="dashed">
        <color indexed="8"/>
      </right>
      <top style="thick">
        <color indexed="8"/>
      </top>
      <bottom/>
      <diagonal/>
    </border>
    <border>
      <left style="dashed">
        <color indexed="14"/>
      </left>
      <right style="dotted">
        <color indexed="64"/>
      </right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thick">
        <color indexed="64"/>
      </left>
      <right/>
      <top/>
      <bottom style="dotted">
        <color rgb="FF080808"/>
      </bottom>
      <diagonal/>
    </border>
    <border>
      <left/>
      <right/>
      <top/>
      <bottom style="dotted">
        <color rgb="FF080808"/>
      </bottom>
      <diagonal/>
    </border>
    <border>
      <left style="dotted">
        <color indexed="64"/>
      </left>
      <right/>
      <top/>
      <bottom style="dotted">
        <color rgb="FF080808"/>
      </bottom>
      <diagonal/>
    </border>
    <border>
      <left/>
      <right style="dotted">
        <color indexed="64"/>
      </right>
      <top/>
      <bottom style="dotted">
        <color rgb="FF080808"/>
      </bottom>
      <diagonal/>
    </border>
    <border>
      <left/>
      <right style="thick">
        <color indexed="64"/>
      </right>
      <top/>
      <bottom style="dotted">
        <color rgb="FF080808"/>
      </bottom>
      <diagonal/>
    </border>
    <border>
      <left style="thick">
        <color indexed="64"/>
      </left>
      <right style="dashed">
        <color indexed="8"/>
      </right>
      <top/>
      <bottom/>
      <diagonal/>
    </border>
    <border>
      <left style="dashed">
        <color indexed="14"/>
      </left>
      <right style="dotted">
        <color rgb="FF080808"/>
      </right>
      <top/>
      <bottom/>
      <diagonal/>
    </border>
    <border>
      <left/>
      <right style="dashed">
        <color indexed="8"/>
      </right>
      <top/>
      <bottom/>
      <diagonal/>
    </border>
    <border>
      <left style="dashed">
        <color indexed="14"/>
      </left>
      <right style="dotted">
        <color indexed="64"/>
      </right>
      <top/>
      <bottom/>
      <diagonal/>
    </border>
    <border>
      <left style="dashed">
        <color indexed="14"/>
      </left>
      <right style="thick">
        <color indexed="64"/>
      </right>
      <top/>
      <bottom/>
      <diagonal/>
    </border>
    <border>
      <left style="thick">
        <color indexed="8"/>
      </left>
      <right style="hair">
        <color indexed="8"/>
      </right>
      <top/>
      <bottom/>
      <diagonal/>
    </border>
    <border>
      <left style="thick">
        <color indexed="8"/>
      </left>
      <right style="dotted">
        <color indexed="64"/>
      </right>
      <top/>
      <bottom/>
      <diagonal/>
    </border>
    <border>
      <left style="hair">
        <color indexed="8"/>
      </left>
      <right style="dotted">
        <color indexed="64"/>
      </right>
      <top/>
      <bottom/>
      <diagonal/>
    </border>
    <border>
      <left/>
      <right style="hair">
        <color indexed="8"/>
      </right>
      <top/>
      <bottom/>
      <diagonal/>
    </border>
    <border>
      <left style="dashed">
        <color indexed="8"/>
      </left>
      <right style="dotted">
        <color indexed="64"/>
      </right>
      <top/>
      <bottom/>
      <diagonal/>
    </border>
    <border>
      <left/>
      <right style="dashed">
        <color indexed="14"/>
      </right>
      <top/>
      <bottom/>
      <diagonal/>
    </border>
    <border>
      <left style="thick">
        <color indexed="64"/>
      </left>
      <right/>
      <top style="dotted">
        <color rgb="FF080808"/>
      </top>
      <bottom/>
      <diagonal/>
    </border>
    <border>
      <left/>
      <right style="dotted">
        <color rgb="FF080808"/>
      </right>
      <top style="dotted">
        <color rgb="FF080808"/>
      </top>
      <bottom/>
      <diagonal/>
    </border>
    <border>
      <left style="dotted">
        <color rgb="FF080808"/>
      </left>
      <right/>
      <top style="dotted">
        <color rgb="FF080808"/>
      </top>
      <bottom/>
      <diagonal/>
    </border>
    <border>
      <left/>
      <right style="dotted">
        <color indexed="64"/>
      </right>
      <top style="dotted">
        <color rgb="FF080808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dotted">
        <color indexed="64"/>
      </left>
      <right/>
      <top/>
      <bottom style="thick">
        <color indexed="64"/>
      </bottom>
      <diagonal/>
    </border>
    <border>
      <left/>
      <right style="dotted">
        <color indexed="64"/>
      </right>
      <top/>
      <bottom style="thick">
        <color indexed="64"/>
      </bottom>
      <diagonal/>
    </border>
    <border>
      <left/>
      <right style="thick">
        <color auto="1"/>
      </right>
      <top/>
      <bottom style="thick">
        <color indexed="64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 style="dashed">
        <color indexed="14"/>
      </right>
      <top style="thick">
        <color indexed="8"/>
      </top>
      <bottom/>
      <diagonal/>
    </border>
    <border>
      <left/>
      <right style="dashed">
        <color indexed="14"/>
      </right>
      <top style="thick">
        <color indexed="8"/>
      </top>
      <bottom/>
      <diagonal/>
    </border>
    <border>
      <left/>
      <right style="thick">
        <color indexed="64"/>
      </right>
      <top style="thick">
        <color indexed="8"/>
      </top>
      <bottom/>
      <diagonal/>
    </border>
    <border>
      <left style="thick">
        <color indexed="64"/>
      </left>
      <right style="thick">
        <color rgb="FFFF0000"/>
      </right>
      <top/>
      <bottom/>
      <diagonal/>
    </border>
    <border>
      <left style="dotted">
        <color rgb="FF080808"/>
      </left>
      <right style="dashed">
        <color indexed="14"/>
      </right>
      <top style="thick">
        <color rgb="FFFF0000"/>
      </top>
      <bottom/>
      <diagonal/>
    </border>
    <border>
      <left style="dashed">
        <color indexed="14"/>
      </left>
      <right style="dotted">
        <color rgb="FF080808"/>
      </right>
      <top style="thick">
        <color rgb="FFFF0000"/>
      </top>
      <bottom/>
      <diagonal/>
    </border>
    <border>
      <left style="dotted">
        <color rgb="FF080808"/>
      </left>
      <right style="thick">
        <color indexed="8"/>
      </right>
      <top style="thick">
        <color rgb="FFFF0000"/>
      </top>
      <bottom/>
      <diagonal/>
    </border>
    <border>
      <left style="dashed">
        <color indexed="14"/>
      </left>
      <right style="thick">
        <color rgb="FFFF0000"/>
      </right>
      <top style="thick">
        <color rgb="FFFF0000"/>
      </top>
      <bottom/>
      <diagonal/>
    </border>
    <border>
      <left/>
      <right style="dotted">
        <color rgb="FF080808"/>
      </right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indexed="8"/>
      </left>
      <right/>
      <top/>
      <bottom style="dotted">
        <color rgb="FF080808"/>
      </bottom>
      <diagonal/>
    </border>
    <border>
      <left/>
      <right style="dashed">
        <color indexed="14"/>
      </right>
      <top/>
      <bottom style="dotted">
        <color rgb="FF080808"/>
      </bottom>
      <diagonal/>
    </border>
    <border>
      <left style="thick">
        <color indexed="8"/>
      </left>
      <right style="dotted">
        <color indexed="64"/>
      </right>
      <top/>
      <bottom style="dotted">
        <color rgb="FF080808"/>
      </bottom>
      <diagonal/>
    </border>
    <border>
      <left/>
      <right style="thick">
        <color rgb="FFFF0000"/>
      </right>
      <top/>
      <bottom style="dotted">
        <color rgb="FF080808"/>
      </bottom>
      <diagonal/>
    </border>
    <border>
      <left style="thick">
        <color indexed="64"/>
      </left>
      <right style="dashed">
        <color indexed="14"/>
      </right>
      <top/>
      <bottom/>
      <diagonal/>
    </border>
    <border>
      <left style="dotted">
        <color rgb="FF080808"/>
      </left>
      <right style="dashed">
        <color indexed="8"/>
      </right>
      <top/>
      <bottom/>
      <diagonal/>
    </border>
    <border>
      <left style="dashed">
        <color indexed="14"/>
      </left>
      <right style="thick">
        <color rgb="FFFF0000"/>
      </right>
      <top/>
      <bottom/>
      <diagonal/>
    </border>
    <border>
      <left/>
      <right style="dashed">
        <color indexed="14"/>
      </right>
      <top/>
      <bottom style="thick">
        <color rgb="FFFF0000"/>
      </bottom>
      <diagonal/>
    </border>
    <border>
      <left style="thick">
        <color indexed="8"/>
      </left>
      <right style="dotted">
        <color indexed="64"/>
      </right>
      <top/>
      <bottom style="thick">
        <color rgb="FFFF0000"/>
      </bottom>
      <diagonal/>
    </border>
    <border>
      <left style="thick">
        <color indexed="8"/>
      </left>
      <right style="dashed">
        <color indexed="14"/>
      </right>
      <top/>
      <bottom/>
      <diagonal/>
    </border>
    <border>
      <left style="dotted">
        <color indexed="14"/>
      </left>
      <right style="dotted">
        <color indexed="64"/>
      </right>
      <top/>
      <bottom/>
      <diagonal/>
    </border>
    <border>
      <left style="thick">
        <color indexed="8"/>
      </left>
      <right style="thick">
        <color rgb="FFFF0000"/>
      </right>
      <top/>
      <bottom/>
      <diagonal/>
    </border>
    <border>
      <left style="thick">
        <color indexed="8"/>
      </left>
      <right/>
      <top/>
      <bottom style="thick">
        <color indexed="64"/>
      </bottom>
      <diagonal/>
    </border>
    <border>
      <left/>
      <right style="thick">
        <color rgb="FFFF0000"/>
      </right>
      <top/>
      <bottom style="thick">
        <color indexed="64"/>
      </bottom>
      <diagonal/>
    </border>
    <border>
      <left/>
      <right/>
      <top/>
      <bottom style="thick">
        <color rgb="FFFF0000"/>
      </bottom>
      <diagonal/>
    </border>
    <border>
      <left/>
      <right style="dotted">
        <color indexed="64"/>
      </right>
      <top/>
      <bottom style="thick">
        <color rgb="FFFF0000"/>
      </bottom>
      <diagonal/>
    </border>
    <border>
      <left style="dotted">
        <color indexed="64"/>
      </left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 applyProtection="1">
      <alignment horizontal="center" vertical="center"/>
    </xf>
    <xf numFmtId="0" fontId="0" fillId="0" borderId="0" xfId="0" applyProtection="1"/>
    <xf numFmtId="0" fontId="2" fillId="2" borderId="0" xfId="0" applyFont="1" applyFill="1" applyAlignment="1" applyProtection="1">
      <alignment horizontal="center"/>
    </xf>
    <xf numFmtId="164" fontId="3" fillId="2" borderId="0" xfId="0" applyNumberFormat="1" applyFont="1" applyFill="1" applyBorder="1" applyAlignment="1" applyProtection="1">
      <alignment horizontal="center"/>
    </xf>
    <xf numFmtId="0" fontId="2" fillId="2" borderId="0" xfId="0" applyFont="1" applyFill="1" applyBorder="1" applyAlignment="1" applyProtection="1">
      <alignment horizontal="center"/>
    </xf>
    <xf numFmtId="0" fontId="2" fillId="2" borderId="0" xfId="0" applyFont="1" applyFill="1" applyBorder="1" applyAlignment="1" applyProtection="1">
      <alignment horizontal="center" shrinkToFit="1"/>
    </xf>
    <xf numFmtId="14" fontId="2" fillId="2" borderId="1" xfId="0" applyNumberFormat="1" applyFont="1" applyFill="1" applyBorder="1" applyAlignment="1" applyProtection="1">
      <alignment horizontal="center"/>
    </xf>
    <xf numFmtId="0" fontId="12" fillId="2" borderId="2" xfId="0" applyFont="1" applyFill="1" applyBorder="1" applyAlignment="1" applyProtection="1">
      <alignment horizontal="center" vertical="center" shrinkToFit="1"/>
    </xf>
    <xf numFmtId="0" fontId="12" fillId="2" borderId="3" xfId="0" applyFont="1" applyFill="1" applyBorder="1" applyAlignment="1" applyProtection="1">
      <alignment horizontal="center" vertical="center" shrinkToFit="1"/>
    </xf>
    <xf numFmtId="0" fontId="8" fillId="2" borderId="4" xfId="0" applyFont="1" applyFill="1" applyBorder="1" applyAlignment="1" applyProtection="1">
      <alignment horizontal="center" vertical="center" shrinkToFit="1"/>
    </xf>
    <xf numFmtId="0" fontId="8" fillId="2" borderId="5" xfId="0" applyFont="1" applyFill="1" applyBorder="1" applyAlignment="1" applyProtection="1">
      <alignment horizontal="center" vertical="center" shrinkToFit="1"/>
    </xf>
    <xf numFmtId="0" fontId="8" fillId="2" borderId="6" xfId="0" applyFont="1" applyFill="1" applyBorder="1" applyAlignment="1" applyProtection="1">
      <alignment horizontal="center" vertical="center" shrinkToFit="1"/>
    </xf>
    <xf numFmtId="0" fontId="5" fillId="2" borderId="7" xfId="0" applyFont="1" applyFill="1" applyBorder="1" applyAlignment="1" applyProtection="1">
      <alignment horizontal="center" shrinkToFit="1"/>
    </xf>
    <xf numFmtId="0" fontId="5" fillId="2" borderId="8" xfId="0" applyFont="1" applyFill="1" applyBorder="1" applyAlignment="1" applyProtection="1">
      <alignment horizontal="center" shrinkToFit="1"/>
    </xf>
    <xf numFmtId="0" fontId="2" fillId="2" borderId="9" xfId="0" applyFont="1" applyFill="1" applyBorder="1" applyAlignment="1" applyProtection="1">
      <alignment horizontal="center" shrinkToFit="1"/>
    </xf>
    <xf numFmtId="0" fontId="2" fillId="2" borderId="10" xfId="0" applyFont="1" applyFill="1" applyBorder="1" applyAlignment="1" applyProtection="1">
      <alignment horizontal="center" shrinkToFit="1"/>
    </xf>
    <xf numFmtId="0" fontId="2" fillId="2" borderId="8" xfId="0" applyFont="1" applyFill="1" applyBorder="1" applyAlignment="1" applyProtection="1">
      <alignment horizontal="center" shrinkToFit="1"/>
    </xf>
    <xf numFmtId="0" fontId="2" fillId="2" borderId="11" xfId="0" applyFont="1" applyFill="1" applyBorder="1" applyAlignment="1" applyProtection="1">
      <alignment horizontal="center" shrinkToFit="1"/>
    </xf>
    <xf numFmtId="0" fontId="2" fillId="2" borderId="12" xfId="0" applyFont="1" applyFill="1" applyBorder="1" applyAlignment="1" applyProtection="1">
      <alignment horizontal="center" shrinkToFit="1"/>
    </xf>
    <xf numFmtId="0" fontId="2" fillId="2" borderId="13" xfId="0" applyFont="1" applyFill="1" applyBorder="1" applyAlignment="1" applyProtection="1">
      <alignment horizontal="center" shrinkToFit="1"/>
    </xf>
    <xf numFmtId="0" fontId="3" fillId="2" borderId="14" xfId="0" applyFont="1" applyFill="1" applyBorder="1" applyAlignment="1" applyProtection="1">
      <alignment horizontal="center" shrinkToFit="1"/>
    </xf>
    <xf numFmtId="0" fontId="3" fillId="2" borderId="15" xfId="0" applyFont="1" applyFill="1" applyBorder="1" applyAlignment="1" applyProtection="1">
      <alignment horizontal="center" shrinkToFit="1"/>
    </xf>
    <xf numFmtId="0" fontId="3" fillId="2" borderId="0" xfId="0" applyFont="1" applyFill="1" applyBorder="1" applyAlignment="1" applyProtection="1">
      <alignment horizontal="center" shrinkToFit="1"/>
    </xf>
    <xf numFmtId="0" fontId="3" fillId="2" borderId="16" xfId="0" applyFont="1" applyFill="1" applyBorder="1" applyAlignment="1" applyProtection="1">
      <alignment horizontal="center" shrinkToFit="1"/>
    </xf>
    <xf numFmtId="0" fontId="6" fillId="2" borderId="14" xfId="0" applyFont="1" applyFill="1" applyBorder="1" applyAlignment="1" applyProtection="1">
      <alignment horizontal="center" shrinkToFit="1"/>
    </xf>
    <xf numFmtId="0" fontId="6" fillId="2" borderId="15" xfId="0" applyFont="1" applyFill="1" applyBorder="1" applyAlignment="1" applyProtection="1">
      <alignment horizontal="center" shrinkToFit="1"/>
    </xf>
    <xf numFmtId="0" fontId="6" fillId="2" borderId="0" xfId="0" applyFont="1" applyFill="1" applyBorder="1" applyAlignment="1" applyProtection="1">
      <alignment horizontal="center" shrinkToFit="1"/>
    </xf>
    <xf numFmtId="49" fontId="3" fillId="2" borderId="15" xfId="0" applyNumberFormat="1" applyFont="1" applyFill="1" applyBorder="1" applyAlignment="1" applyProtection="1">
      <alignment horizontal="center" shrinkToFit="1"/>
    </xf>
    <xf numFmtId="49" fontId="3" fillId="2" borderId="16" xfId="0" applyNumberFormat="1" applyFont="1" applyFill="1" applyBorder="1" applyAlignment="1" applyProtection="1">
      <alignment horizontal="center" shrinkToFit="1"/>
    </xf>
    <xf numFmtId="0" fontId="3" fillId="2" borderId="14" xfId="0" applyFont="1" applyFill="1" applyBorder="1" applyAlignment="1" applyProtection="1">
      <alignment horizontal="center" vertical="center" shrinkToFit="1"/>
    </xf>
    <xf numFmtId="0" fontId="3" fillId="2" borderId="16" xfId="0" applyFont="1" applyFill="1" applyBorder="1" applyAlignment="1" applyProtection="1">
      <alignment horizontal="center" vertical="center" shrinkToFit="1"/>
    </xf>
    <xf numFmtId="0" fontId="2" fillId="2" borderId="18" xfId="0" applyFont="1" applyFill="1" applyBorder="1" applyAlignment="1" applyProtection="1">
      <alignment horizontal="center" shrinkToFit="1"/>
    </xf>
    <xf numFmtId="0" fontId="2" fillId="2" borderId="19" xfId="0" applyFont="1" applyFill="1" applyBorder="1" applyAlignment="1" applyProtection="1">
      <alignment horizontal="center" shrinkToFit="1"/>
    </xf>
    <xf numFmtId="0" fontId="2" fillId="2" borderId="20" xfId="0" applyFont="1" applyFill="1" applyBorder="1" applyAlignment="1" applyProtection="1">
      <alignment horizontal="center" shrinkToFit="1"/>
    </xf>
    <xf numFmtId="0" fontId="2" fillId="2" borderId="21" xfId="0" applyFont="1" applyFill="1" applyBorder="1" applyAlignment="1" applyProtection="1">
      <alignment horizontal="center" shrinkToFit="1"/>
    </xf>
    <xf numFmtId="0" fontId="2" fillId="2" borderId="22" xfId="0" applyFont="1" applyFill="1" applyBorder="1" applyAlignment="1" applyProtection="1">
      <alignment horizontal="center" shrinkToFit="1"/>
    </xf>
    <xf numFmtId="0" fontId="5" fillId="2" borderId="18" xfId="0" applyFont="1" applyFill="1" applyBorder="1" applyAlignment="1" applyProtection="1">
      <alignment horizontal="center" shrinkToFit="1"/>
    </xf>
    <xf numFmtId="0" fontId="5" fillId="2" borderId="21" xfId="0" applyFont="1" applyFill="1" applyBorder="1" applyAlignment="1" applyProtection="1">
      <alignment horizontal="center" shrinkToFit="1"/>
    </xf>
    <xf numFmtId="0" fontId="5" fillId="2" borderId="19" xfId="0" applyFont="1" applyFill="1" applyBorder="1" applyAlignment="1" applyProtection="1">
      <alignment horizontal="center" shrinkToFit="1"/>
    </xf>
    <xf numFmtId="0" fontId="8" fillId="2" borderId="23" xfId="0" applyFont="1" applyFill="1" applyBorder="1" applyAlignment="1" applyProtection="1">
      <alignment horizontal="center" vertical="center" shrinkToFit="1"/>
    </xf>
    <xf numFmtId="0" fontId="8" fillId="2" borderId="24" xfId="0" applyFont="1" applyFill="1" applyBorder="1" applyAlignment="1" applyProtection="1">
      <alignment horizontal="center" vertical="center" shrinkToFit="1"/>
    </xf>
    <xf numFmtId="0" fontId="8" fillId="2" borderId="25" xfId="0" applyFont="1" applyFill="1" applyBorder="1" applyAlignment="1" applyProtection="1">
      <alignment horizontal="center" vertical="center" shrinkToFit="1"/>
    </xf>
    <xf numFmtId="0" fontId="8" fillId="2" borderId="26" xfId="0" applyFont="1" applyFill="1" applyBorder="1" applyAlignment="1" applyProtection="1">
      <alignment horizontal="center" vertical="center" shrinkToFit="1"/>
    </xf>
    <xf numFmtId="0" fontId="8" fillId="2" borderId="0" xfId="0" applyFont="1" applyFill="1" applyBorder="1" applyAlignment="1" applyProtection="1">
      <alignment horizontal="center" vertical="center" shrinkToFit="1"/>
    </xf>
    <xf numFmtId="0" fontId="8" fillId="2" borderId="27" xfId="0" applyFont="1" applyFill="1" applyBorder="1" applyAlignment="1" applyProtection="1">
      <alignment horizontal="center" vertical="center" shrinkToFit="1"/>
    </xf>
    <xf numFmtId="0" fontId="5" fillId="2" borderId="28" xfId="0" applyFont="1" applyFill="1" applyBorder="1" applyAlignment="1" applyProtection="1">
      <alignment horizontal="center" shrinkToFit="1"/>
    </xf>
    <xf numFmtId="0" fontId="5" fillId="2" borderId="29" xfId="0" applyFont="1" applyFill="1" applyBorder="1" applyAlignment="1" applyProtection="1">
      <alignment horizontal="center" shrinkToFit="1"/>
    </xf>
    <xf numFmtId="0" fontId="5" fillId="2" borderId="0" xfId="0" applyFont="1" applyFill="1" applyBorder="1" applyAlignment="1" applyProtection="1">
      <alignment horizontal="center" shrinkToFit="1"/>
    </xf>
    <xf numFmtId="0" fontId="5" fillId="2" borderId="30" xfId="0" applyFont="1" applyFill="1" applyBorder="1" applyAlignment="1" applyProtection="1">
      <alignment horizontal="center" shrinkToFit="1"/>
    </xf>
    <xf numFmtId="0" fontId="2" fillId="2" borderId="31" xfId="0" applyFont="1" applyFill="1" applyBorder="1" applyAlignment="1" applyProtection="1">
      <alignment horizontal="center" shrinkToFit="1"/>
    </xf>
    <xf numFmtId="0" fontId="2" fillId="2" borderId="32" xfId="0" applyFont="1" applyFill="1" applyBorder="1" applyAlignment="1" applyProtection="1">
      <alignment horizontal="center" shrinkToFit="1"/>
    </xf>
    <xf numFmtId="0" fontId="2" fillId="2" borderId="25" xfId="0" applyFont="1" applyFill="1" applyBorder="1" applyAlignment="1" applyProtection="1">
      <alignment horizontal="center" shrinkToFit="1"/>
    </xf>
    <xf numFmtId="0" fontId="2" fillId="2" borderId="26" xfId="0" applyFont="1" applyFill="1" applyBorder="1" applyAlignment="1" applyProtection="1">
      <alignment horizontal="center" shrinkToFit="1"/>
    </xf>
    <xf numFmtId="0" fontId="2" fillId="2" borderId="27" xfId="0" applyFont="1" applyFill="1" applyBorder="1" applyAlignment="1" applyProtection="1">
      <alignment horizontal="center" shrinkToFit="1"/>
    </xf>
    <xf numFmtId="49" fontId="6" fillId="2" borderId="15" xfId="0" applyNumberFormat="1" applyFont="1" applyFill="1" applyBorder="1" applyAlignment="1" applyProtection="1">
      <alignment horizontal="center" shrinkToFit="1"/>
    </xf>
    <xf numFmtId="0" fontId="6" fillId="2" borderId="16" xfId="0" applyFont="1" applyFill="1" applyBorder="1" applyAlignment="1" applyProtection="1">
      <alignment horizontal="center" shrinkToFit="1"/>
    </xf>
    <xf numFmtId="0" fontId="10" fillId="2" borderId="14" xfId="0" applyFont="1" applyFill="1" applyBorder="1" applyAlignment="1" applyProtection="1">
      <alignment horizontal="center" vertical="center" shrinkToFit="1"/>
    </xf>
    <xf numFmtId="0" fontId="10" fillId="2" borderId="15" xfId="0" applyFont="1" applyFill="1" applyBorder="1" applyAlignment="1" applyProtection="1">
      <alignment horizontal="center" vertical="center" shrinkToFit="1"/>
    </xf>
    <xf numFmtId="0" fontId="11" fillId="2" borderId="0" xfId="0" applyFont="1" applyFill="1" applyBorder="1" applyAlignment="1" applyProtection="1">
      <alignment horizontal="center" vertical="center" shrinkToFit="1"/>
    </xf>
    <xf numFmtId="0" fontId="11" fillId="2" borderId="15" xfId="0" applyFont="1" applyFill="1" applyBorder="1" applyAlignment="1" applyProtection="1">
      <alignment horizontal="center" vertical="center" shrinkToFit="1"/>
    </xf>
    <xf numFmtId="0" fontId="11" fillId="2" borderId="17" xfId="0" applyFont="1" applyFill="1" applyBorder="1" applyAlignment="1" applyProtection="1">
      <alignment horizontal="center" vertical="center" shrinkToFit="1"/>
    </xf>
    <xf numFmtId="0" fontId="11" fillId="2" borderId="16" xfId="0" applyFont="1" applyFill="1" applyBorder="1" applyAlignment="1" applyProtection="1">
      <alignment horizontal="center" vertical="center" shrinkToFit="1"/>
    </xf>
    <xf numFmtId="0" fontId="5" fillId="2" borderId="14" xfId="0" applyFont="1" applyFill="1" applyBorder="1" applyAlignment="1" applyProtection="1">
      <alignment horizontal="center" shrinkToFit="1"/>
    </xf>
    <xf numFmtId="0" fontId="5" fillId="2" borderId="26" xfId="0" applyFont="1" applyFill="1" applyBorder="1" applyAlignment="1" applyProtection="1">
      <alignment horizontal="center" shrinkToFit="1"/>
    </xf>
    <xf numFmtId="0" fontId="5" fillId="2" borderId="33" xfId="0" applyFont="1" applyFill="1" applyBorder="1" applyAlignment="1" applyProtection="1">
      <alignment horizontal="center" shrinkToFit="1"/>
    </xf>
    <xf numFmtId="0" fontId="5" fillId="2" borderId="15" xfId="0" applyFont="1" applyFill="1" applyBorder="1" applyAlignment="1" applyProtection="1">
      <alignment horizontal="center" shrinkToFit="1"/>
    </xf>
    <xf numFmtId="0" fontId="3" fillId="2" borderId="0" xfId="0" applyFont="1" applyFill="1" applyBorder="1" applyAlignment="1" applyProtection="1">
      <alignment horizontal="center" vertical="center" shrinkToFit="1"/>
    </xf>
    <xf numFmtId="0" fontId="7" fillId="2" borderId="34" xfId="0" applyFont="1" applyFill="1" applyBorder="1" applyAlignment="1" applyProtection="1">
      <alignment horizontal="center" vertical="center" shrinkToFit="1"/>
    </xf>
    <xf numFmtId="0" fontId="7" fillId="2" borderId="35" xfId="0" applyFont="1" applyFill="1" applyBorder="1" applyAlignment="1" applyProtection="1">
      <alignment horizontal="center" vertical="center" shrinkToFit="1"/>
    </xf>
    <xf numFmtId="0" fontId="7" fillId="2" borderId="36" xfId="0" applyFont="1" applyFill="1" applyBorder="1" applyAlignment="1" applyProtection="1">
      <alignment horizontal="center" vertical="center" shrinkToFit="1"/>
    </xf>
    <xf numFmtId="0" fontId="7" fillId="2" borderId="37" xfId="0" applyFont="1" applyFill="1" applyBorder="1" applyAlignment="1" applyProtection="1">
      <alignment horizontal="center" vertical="center" shrinkToFit="1"/>
    </xf>
    <xf numFmtId="0" fontId="2" fillId="2" borderId="38" xfId="0" applyFont="1" applyFill="1" applyBorder="1" applyAlignment="1" applyProtection="1">
      <alignment horizontal="center" shrinkToFit="1"/>
    </xf>
    <xf numFmtId="0" fontId="2" fillId="2" borderId="39" xfId="0" applyFont="1" applyFill="1" applyBorder="1" applyAlignment="1" applyProtection="1">
      <alignment horizontal="center" shrinkToFit="1"/>
    </xf>
    <xf numFmtId="0" fontId="2" fillId="2" borderId="40" xfId="0" applyFont="1" applyFill="1" applyBorder="1" applyAlignment="1" applyProtection="1">
      <alignment horizontal="center" shrinkToFit="1"/>
    </xf>
    <xf numFmtId="0" fontId="2" fillId="2" borderId="41" xfId="0" applyFont="1" applyFill="1" applyBorder="1" applyAlignment="1" applyProtection="1">
      <alignment horizontal="center" shrinkToFit="1"/>
    </xf>
    <xf numFmtId="0" fontId="2" fillId="2" borderId="42" xfId="0" applyFont="1" applyFill="1" applyBorder="1" applyAlignment="1" applyProtection="1">
      <alignment horizontal="center" shrinkToFit="1"/>
    </xf>
    <xf numFmtId="0" fontId="2" fillId="2" borderId="43" xfId="0" applyFont="1" applyFill="1" applyBorder="1" applyAlignment="1" applyProtection="1">
      <alignment horizontal="center" shrinkToFit="1"/>
    </xf>
    <xf numFmtId="0" fontId="2" fillId="2" borderId="1" xfId="0" applyFont="1" applyFill="1" applyBorder="1" applyAlignment="1" applyProtection="1">
      <alignment horizontal="center" shrinkToFit="1"/>
    </xf>
    <xf numFmtId="0" fontId="2" fillId="2" borderId="0" xfId="0" applyFont="1" applyFill="1" applyBorder="1" applyAlignment="1" applyProtection="1">
      <alignment horizontal="center" shrinkToFit="1"/>
    </xf>
    <xf numFmtId="0" fontId="4" fillId="2" borderId="44" xfId="0" applyFont="1" applyFill="1" applyBorder="1" applyAlignment="1" applyProtection="1">
      <alignment horizontal="center" shrinkToFit="1"/>
    </xf>
    <xf numFmtId="0" fontId="4" fillId="2" borderId="8" xfId="0" applyFont="1" applyFill="1" applyBorder="1" applyAlignment="1" applyProtection="1">
      <alignment horizontal="center" shrinkToFit="1"/>
    </xf>
    <xf numFmtId="0" fontId="2" fillId="2" borderId="3" xfId="0" applyFont="1" applyFill="1" applyBorder="1" applyAlignment="1" applyProtection="1">
      <alignment horizontal="center" shrinkToFit="1"/>
    </xf>
    <xf numFmtId="0" fontId="2" fillId="2" borderId="45" xfId="0" applyFont="1" applyFill="1" applyBorder="1" applyAlignment="1" applyProtection="1">
      <alignment horizontal="center" shrinkToFit="1"/>
    </xf>
    <xf numFmtId="0" fontId="2" fillId="2" borderId="46" xfId="0" applyFont="1" applyFill="1" applyBorder="1" applyAlignment="1" applyProtection="1">
      <alignment horizontal="center" shrinkToFit="1"/>
    </xf>
    <xf numFmtId="0" fontId="2" fillId="2" borderId="47" xfId="0" applyFont="1" applyFill="1" applyBorder="1" applyAlignment="1" applyProtection="1">
      <alignment horizontal="center" shrinkToFit="1"/>
    </xf>
    <xf numFmtId="0" fontId="2" fillId="2" borderId="7" xfId="0" applyFont="1" applyFill="1" applyBorder="1" applyAlignment="1" applyProtection="1">
      <alignment horizontal="center" shrinkToFit="1"/>
    </xf>
    <xf numFmtId="0" fontId="2" fillId="2" borderId="48" xfId="0" applyFont="1" applyFill="1" applyBorder="1" applyAlignment="1" applyProtection="1">
      <alignment horizontal="center" shrinkToFit="1"/>
    </xf>
    <xf numFmtId="0" fontId="2" fillId="2" borderId="49" xfId="0" applyFont="1" applyFill="1" applyBorder="1" applyAlignment="1" applyProtection="1">
      <alignment horizontal="center" shrinkToFit="1"/>
    </xf>
    <xf numFmtId="0" fontId="2" fillId="2" borderId="50" xfId="0" applyFont="1" applyFill="1" applyBorder="1" applyAlignment="1" applyProtection="1">
      <alignment horizontal="center" shrinkToFit="1"/>
    </xf>
    <xf numFmtId="0" fontId="2" fillId="2" borderId="51" xfId="0" applyFont="1" applyFill="1" applyBorder="1" applyAlignment="1" applyProtection="1">
      <alignment horizontal="center" shrinkToFit="1"/>
    </xf>
    <xf numFmtId="0" fontId="3" fillId="2" borderId="47" xfId="0" applyFont="1" applyFill="1" applyBorder="1" applyAlignment="1" applyProtection="1">
      <alignment horizontal="center" shrinkToFit="1"/>
    </xf>
    <xf numFmtId="49" fontId="6" fillId="2" borderId="52" xfId="0" applyNumberFormat="1" applyFont="1" applyFill="1" applyBorder="1" applyAlignment="1" applyProtection="1">
      <alignment horizontal="center" shrinkToFit="1"/>
    </xf>
    <xf numFmtId="0" fontId="3" fillId="2" borderId="52" xfId="0" applyFont="1" applyFill="1" applyBorder="1" applyAlignment="1" applyProtection="1">
      <alignment horizontal="center" shrinkToFit="1"/>
    </xf>
    <xf numFmtId="0" fontId="6" fillId="2" borderId="52" xfId="0" applyFont="1" applyFill="1" applyBorder="1" applyAlignment="1" applyProtection="1">
      <alignment horizontal="center" shrinkToFit="1"/>
    </xf>
    <xf numFmtId="0" fontId="3" fillId="2" borderId="53" xfId="0" applyFont="1" applyFill="1" applyBorder="1" applyAlignment="1" applyProtection="1">
      <alignment horizontal="center" shrinkToFit="1"/>
    </xf>
    <xf numFmtId="0" fontId="2" fillId="2" borderId="47" xfId="0" applyFont="1" applyFill="1" applyBorder="1" applyAlignment="1" applyProtection="1">
      <alignment horizontal="center" vertical="center" shrinkToFit="1"/>
    </xf>
    <xf numFmtId="0" fontId="2" fillId="2" borderId="54" xfId="0" applyFont="1" applyFill="1" applyBorder="1" applyAlignment="1" applyProtection="1">
      <alignment horizontal="center" shrinkToFit="1"/>
    </xf>
    <xf numFmtId="49" fontId="5" fillId="2" borderId="55" xfId="0" applyNumberFormat="1" applyFont="1" applyFill="1" applyBorder="1" applyAlignment="1" applyProtection="1">
      <alignment horizontal="center" shrinkToFit="1"/>
    </xf>
    <xf numFmtId="49" fontId="5" fillId="2" borderId="56" xfId="0" applyNumberFormat="1" applyFont="1" applyFill="1" applyBorder="1" applyAlignment="1" applyProtection="1">
      <alignment horizontal="center" shrinkToFit="1"/>
    </xf>
    <xf numFmtId="0" fontId="2" fillId="2" borderId="57" xfId="0" applyFont="1" applyFill="1" applyBorder="1" applyAlignment="1" applyProtection="1">
      <alignment horizontal="center" shrinkToFit="1"/>
    </xf>
    <xf numFmtId="0" fontId="0" fillId="0" borderId="0" xfId="0" applyBorder="1" applyProtection="1"/>
    <xf numFmtId="0" fontId="5" fillId="2" borderId="58" xfId="0" applyFont="1" applyFill="1" applyBorder="1" applyAlignment="1" applyProtection="1">
      <alignment horizontal="center" shrinkToFit="1"/>
    </xf>
    <xf numFmtId="0" fontId="5" fillId="2" borderId="43" xfId="0" applyFont="1" applyFill="1" applyBorder="1" applyAlignment="1" applyProtection="1">
      <alignment horizontal="center" shrinkToFit="1"/>
    </xf>
    <xf numFmtId="0" fontId="2" fillId="2" borderId="59" xfId="0" applyFont="1" applyFill="1" applyBorder="1" applyAlignment="1" applyProtection="1">
      <alignment horizontal="center" shrinkToFit="1"/>
    </xf>
    <xf numFmtId="0" fontId="2" fillId="2" borderId="15" xfId="0" applyFont="1" applyFill="1" applyBorder="1" applyAlignment="1" applyProtection="1">
      <alignment horizontal="center" shrinkToFit="1"/>
    </xf>
    <xf numFmtId="0" fontId="2" fillId="2" borderId="33" xfId="0" applyFont="1" applyFill="1" applyBorder="1" applyAlignment="1" applyProtection="1">
      <alignment horizontal="center" shrinkToFit="1"/>
    </xf>
    <xf numFmtId="0" fontId="2" fillId="2" borderId="60" xfId="0" applyFont="1" applyFill="1" applyBorder="1" applyAlignment="1" applyProtection="1">
      <alignment horizontal="center" shrinkToFit="1"/>
    </xf>
    <xf numFmtId="49" fontId="5" fillId="2" borderId="61" xfId="0" applyNumberFormat="1" applyFont="1" applyFill="1" applyBorder="1" applyAlignment="1" applyProtection="1">
      <alignment horizontal="center" shrinkToFit="1"/>
    </xf>
    <xf numFmtId="49" fontId="9" fillId="2" borderId="62" xfId="0" applyNumberFormat="1" applyFont="1" applyFill="1" applyBorder="1" applyAlignment="1" applyProtection="1">
      <alignment horizontal="center" shrinkToFit="1"/>
    </xf>
    <xf numFmtId="0" fontId="5" fillId="2" borderId="63" xfId="0" applyFont="1" applyFill="1" applyBorder="1" applyAlignment="1" applyProtection="1">
      <alignment horizontal="center" shrinkToFit="1"/>
    </xf>
    <xf numFmtId="0" fontId="2" fillId="2" borderId="64" xfId="0" applyFont="1" applyFill="1" applyBorder="1" applyAlignment="1" applyProtection="1">
      <alignment horizontal="center" shrinkToFit="1"/>
    </xf>
    <xf numFmtId="0" fontId="5" fillId="2" borderId="65" xfId="0" applyFont="1" applyFill="1" applyBorder="1" applyAlignment="1" applyProtection="1">
      <alignment horizontal="center" shrinkToFit="1"/>
    </xf>
    <xf numFmtId="0" fontId="5" fillId="2" borderId="53" xfId="0" applyFont="1" applyFill="1" applyBorder="1" applyAlignment="1" applyProtection="1">
      <alignment horizontal="center" shrinkToFit="1"/>
    </xf>
    <xf numFmtId="0" fontId="2" fillId="2" borderId="0" xfId="0" applyFont="1" applyFill="1" applyBorder="1" applyAlignment="1" applyProtection="1">
      <alignment horizontal="center" vertical="center" shrinkToFit="1"/>
    </xf>
    <xf numFmtId="0" fontId="2" fillId="2" borderId="66" xfId="0" applyFont="1" applyFill="1" applyBorder="1" applyAlignment="1" applyProtection="1">
      <alignment horizontal="center" shrinkToFit="1"/>
    </xf>
    <xf numFmtId="0" fontId="2" fillId="2" borderId="67" xfId="0" applyFont="1" applyFill="1" applyBorder="1" applyAlignment="1" applyProtection="1">
      <alignment horizontal="center" shrinkToFit="1"/>
    </xf>
    <xf numFmtId="0" fontId="2" fillId="2" borderId="68" xfId="0" applyFont="1" applyFill="1" applyBorder="1" applyAlignment="1" applyProtection="1">
      <alignment horizontal="center" shrinkToFit="1"/>
    </xf>
    <xf numFmtId="0" fontId="2" fillId="2" borderId="69" xfId="0" applyFont="1" applyFill="1" applyBorder="1" applyAlignment="1" applyProtection="1">
      <alignment horizontal="center" shrinkToFit="1"/>
    </xf>
    <xf numFmtId="0" fontId="2" fillId="2" borderId="70" xfId="0" applyFont="1" applyFill="1" applyBorder="1" applyAlignment="1" applyProtection="1">
      <alignment horizontal="center" shrinkToFit="1"/>
    </xf>
    <xf numFmtId="0" fontId="2" fillId="2" borderId="71" xfId="0" applyFont="1" applyFill="1" applyBorder="1" applyAlignment="1" applyProtection="1">
      <alignment horizontal="center" shrinkToFit="1"/>
    </xf>
    <xf numFmtId="0" fontId="0" fillId="0" borderId="0" xfId="0" applyBorder="1" applyAlignment="1" applyProtection="1">
      <alignment horizontal="center"/>
    </xf>
  </cellXfs>
  <cellStyles count="1">
    <cellStyle name="Normal" xfId="0" builtinId="0"/>
  </cellStyles>
  <dxfs count="18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&#194;N%20TAN\M&#227;%20m&#225;y%20c&#225;c%20t&#7847;ng%20ghi%20ch&#250;%20l&#7895;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二楼B车间"/>
      <sheetName val="五楼"/>
      <sheetName val="三楼C车间"/>
      <sheetName val="mã vải "/>
      <sheetName val="Sheet1"/>
      <sheetName val="máy theo mã vải"/>
      <sheetName val="四楼D车间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tabSelected="1" workbookViewId="0">
      <selection activeCell="I11" sqref="I11:J11"/>
    </sheetView>
  </sheetViews>
  <sheetFormatPr defaultRowHeight="15"/>
  <cols>
    <col min="1" max="22" width="8.5703125" style="2" customWidth="1"/>
    <col min="23" max="16384" width="9.140625" style="2"/>
  </cols>
  <sheetData>
    <row r="1" spans="1:21" ht="30.75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7.25" thickBot="1">
      <c r="A2" s="3"/>
      <c r="B2" s="3"/>
      <c r="C2" s="4"/>
      <c r="D2" s="4"/>
      <c r="E2" s="4"/>
      <c r="F2" s="4"/>
      <c r="G2" s="3"/>
      <c r="H2" s="3"/>
      <c r="I2" s="3"/>
      <c r="J2" s="5"/>
      <c r="K2" s="6"/>
      <c r="L2" s="3"/>
      <c r="M2" s="3"/>
      <c r="N2" s="3"/>
      <c r="O2" s="3"/>
      <c r="P2" s="3"/>
      <c r="Q2" s="3"/>
      <c r="R2" s="7">
        <f ca="1">NOW()</f>
        <v>45535.574152546294</v>
      </c>
      <c r="S2" s="7"/>
      <c r="T2" s="7"/>
      <c r="U2" s="7"/>
    </row>
    <row r="3" spans="1:21" ht="21" customHeight="1" thickTop="1">
      <c r="A3" s="8" t="s">
        <v>0</v>
      </c>
      <c r="B3" s="9"/>
      <c r="C3" s="10" t="s">
        <v>0</v>
      </c>
      <c r="D3" s="11"/>
      <c r="E3" s="10" t="s">
        <v>0</v>
      </c>
      <c r="F3" s="11"/>
      <c r="G3" s="10" t="s">
        <v>0</v>
      </c>
      <c r="H3" s="11"/>
      <c r="I3" s="10" t="s">
        <v>0</v>
      </c>
      <c r="J3" s="12"/>
      <c r="K3" s="6"/>
      <c r="L3" s="13"/>
      <c r="M3" s="14"/>
      <c r="N3" s="15"/>
      <c r="O3" s="16"/>
      <c r="P3" s="15"/>
      <c r="Q3" s="17"/>
      <c r="R3" s="18"/>
      <c r="S3" s="19"/>
      <c r="T3" s="15"/>
      <c r="U3" s="20"/>
    </row>
    <row r="4" spans="1:21" ht="21" customHeight="1">
      <c r="A4" s="21" t="s">
        <v>1</v>
      </c>
      <c r="B4" s="22" t="s">
        <v>2</v>
      </c>
      <c r="C4" s="23" t="s">
        <v>1</v>
      </c>
      <c r="D4" s="22" t="s">
        <v>3</v>
      </c>
      <c r="E4" s="23" t="s">
        <v>1</v>
      </c>
      <c r="F4" s="22" t="s">
        <v>4</v>
      </c>
      <c r="G4" s="23" t="s">
        <v>1</v>
      </c>
      <c r="H4" s="22" t="s">
        <v>5</v>
      </c>
      <c r="I4" s="23" t="s">
        <v>1</v>
      </c>
      <c r="J4" s="24" t="s">
        <v>6</v>
      </c>
      <c r="K4" s="6"/>
      <c r="L4" s="25" t="s">
        <v>1</v>
      </c>
      <c r="M4" s="26" t="s">
        <v>7</v>
      </c>
      <c r="N4" s="27" t="s">
        <v>1</v>
      </c>
      <c r="O4" s="26" t="s">
        <v>8</v>
      </c>
      <c r="P4" s="23" t="s">
        <v>1</v>
      </c>
      <c r="Q4" s="22" t="s">
        <v>9</v>
      </c>
      <c r="R4" s="23" t="s">
        <v>1</v>
      </c>
      <c r="S4" s="28" t="s">
        <v>10</v>
      </c>
      <c r="T4" s="23" t="s">
        <v>1</v>
      </c>
      <c r="U4" s="29" t="s">
        <v>11</v>
      </c>
    </row>
    <row r="5" spans="1:21" ht="21" customHeight="1">
      <c r="A5" s="30" t="str">
        <f>IF(ISNA(VLOOKUP("*"&amp;B4&amp;"*",Sheet1!$A$1:$F$93,5,FALSE)),"",IF(VLOOKUP("*"&amp;B4&amp;"*",Sheet1!$A$1:$F$93,5,FALSE)="",MID(VLOOKUP("*"&amp;B4&amp;"*",Sheet1!$A$1:$F$93,4,FALSE),5,8)&amp;VLOOKUP("*"&amp;B4&amp;"*",Sheet1!$A$1:$F$93,6,FALSE),VLOOKUP("*"&amp;B4&amp;"*",Sheet1!$A$1:$F$93,5,FALSE)&amp;VLOOKUP("*"&amp;B4&amp;"*",Sheet1!$A$1:$F$93,6,FALSE)))</f>
        <v/>
      </c>
      <c r="B5" s="31"/>
      <c r="C5" s="30" t="str">
        <f>IF(ISNA(VLOOKUP("*"&amp;D4&amp;"*",Sheet1!$A$1:$F$93,5,FALSE)),"",IF(VLOOKUP("*"&amp;D4&amp;"*",Sheet1!$A$1:$F$93,5,FALSE)="",MID(VLOOKUP("*"&amp;D4&amp;"*",Sheet1!$A$1:$F$93,4,FALSE),5,8)&amp;VLOOKUP("*"&amp;D4&amp;"*",Sheet1!$A$1:$F$93,6,FALSE),VLOOKUP("*"&amp;D4&amp;"*",Sheet1!$A$1:$F$93,5,FALSE)&amp;VLOOKUP("*"&amp;D4&amp;"*",Sheet1!$A$1:$F$93,6,FALSE)))</f>
        <v/>
      </c>
      <c r="D5" s="31"/>
      <c r="E5" s="30" t="str">
        <f>IF(ISNA(VLOOKUP("*"&amp;F4&amp;"*",Sheet1!$A$1:$F$93,5,FALSE)),"",IF(VLOOKUP("*"&amp;F4&amp;"*",Sheet1!$A$1:$F$93,5,FALSE)="",MID(VLOOKUP("*"&amp;F4&amp;"*",Sheet1!$A$1:$F$93,4,FALSE),5,8)&amp;VLOOKUP("*"&amp;F4&amp;"*",Sheet1!$A$1:$F$93,6,FALSE),VLOOKUP("*"&amp;F4&amp;"*",Sheet1!$A$1:$F$93,5,FALSE)&amp;VLOOKUP("*"&amp;F4&amp;"*",Sheet1!$A$1:$F$93,6,FALSE)))</f>
        <v/>
      </c>
      <c r="F5" s="31"/>
      <c r="G5" s="30" t="str">
        <f>IF(ISNA(VLOOKUP("*"&amp;H4&amp;"*",Sheet1!$A$1:$F$93,5,FALSE)),"",IF(VLOOKUP("*"&amp;H4&amp;"*",Sheet1!$A$1:$F$93,5,FALSE)="",MID(VLOOKUP("*"&amp;H4&amp;"*",Sheet1!$A$1:$F$93,4,FALSE),5,8)&amp;VLOOKUP("*"&amp;H4&amp;"*",Sheet1!$A$1:$F$93,6,FALSE),VLOOKUP("*"&amp;H4&amp;"*",Sheet1!$A$1:$F$93,5,FALSE)&amp;VLOOKUP("*"&amp;H4&amp;"*",Sheet1!$A$1:$F$93,6,FALSE)))</f>
        <v/>
      </c>
      <c r="H5" s="31"/>
      <c r="I5" s="30" t="str">
        <f>IF(ISNA(VLOOKUP("*"&amp;J4&amp;"*",Sheet1!$A$1:$F$93,5,FALSE)),"",IF(VLOOKUP("*"&amp;J4&amp;"*",Sheet1!$A$1:$F$93,5,FALSE)="",MID(VLOOKUP("*"&amp;J4&amp;"*",Sheet1!$A$1:$F$93,4,FALSE),5,8)&amp;VLOOKUP("*"&amp;J4&amp;"*",Sheet1!$A$1:$F$93,6,FALSE),VLOOKUP("*"&amp;J4&amp;"*",Sheet1!$A$1:$F$93,5,FALSE)&amp;VLOOKUP("*"&amp;J4&amp;"*",Sheet1!$A$1:$F$93,6,FALSE)))</f>
        <v/>
      </c>
      <c r="J5" s="31"/>
      <c r="K5" s="6"/>
      <c r="L5" s="30" t="str">
        <f>IF(ISNA(VLOOKUP("*"&amp;M4&amp;"*",Sheet1!$A$1:$F$93,5,FALSE)),"",IF(VLOOKUP("*"&amp;M4&amp;"*",Sheet1!$A$1:$F$93,5,FALSE)="",MID(VLOOKUP("*"&amp;M4&amp;"*",Sheet1!$A$1:$F$93,4,FALSE),5,8)&amp;VLOOKUP("*"&amp;M4&amp;"*",Sheet1!$A$1:$F$93,6,FALSE),VLOOKUP("*"&amp;M4&amp;"*",Sheet1!$A$1:$F$93,5,FALSE)&amp;VLOOKUP("*"&amp;M4&amp;"*",Sheet1!$A$1:$F$93,6,FALSE)))</f>
        <v/>
      </c>
      <c r="M5" s="31"/>
      <c r="N5" s="30" t="str">
        <f>IF(ISNA(VLOOKUP("*"&amp;O4&amp;"*",Sheet1!$A$1:$F$93,5,FALSE)),"",IF(VLOOKUP("*"&amp;O4&amp;"*",Sheet1!$A$1:$F$93,5,FALSE)="",MID(VLOOKUP("*"&amp;O4&amp;"*",Sheet1!$A$1:$F$93,4,FALSE),5,8)&amp;VLOOKUP("*"&amp;O4&amp;"*",Sheet1!$A$1:$F$93,6,FALSE),VLOOKUP("*"&amp;O4&amp;"*",Sheet1!$A$1:$F$93,5,FALSE)&amp;VLOOKUP("*"&amp;O4&amp;"*",Sheet1!$A$1:$F$93,6,FALSE)))</f>
        <v/>
      </c>
      <c r="O5" s="31"/>
      <c r="P5" s="30" t="str">
        <f>IF(ISNA(VLOOKUP("*"&amp;Q4&amp;"*",Sheet1!$A$1:$F$93,5,FALSE)),"",IF(VLOOKUP("*"&amp;Q4&amp;"*",Sheet1!$A$1:$F$93,5,FALSE)="",MID(VLOOKUP("*"&amp;Q4&amp;"*",Sheet1!$A$1:$F$93,4,FALSE),5,8)&amp;VLOOKUP("*"&amp;Q4&amp;"*",Sheet1!$A$1:$F$93,6,FALSE),VLOOKUP("*"&amp;Q4&amp;"*",Sheet1!$A$1:$F$93,5,FALSE)&amp;VLOOKUP("*"&amp;Q4&amp;"*",Sheet1!$A$1:$F$93,6,FALSE)))</f>
        <v/>
      </c>
      <c r="Q5" s="31"/>
      <c r="R5" s="30" t="str">
        <f>IF(ISNA(VLOOKUP("*"&amp;S4&amp;"*",Sheet1!$A$1:$F$93,5,FALSE)),"",IF(VLOOKUP("*"&amp;S4&amp;"*",Sheet1!$A$1:$F$93,5,FALSE)="",MID(VLOOKUP("*"&amp;S4&amp;"*",Sheet1!$A$1:$F$93,4,FALSE),5,8)&amp;VLOOKUP("*"&amp;S4&amp;"*",Sheet1!$A$1:$F$93,6,FALSE),VLOOKUP("*"&amp;S4&amp;"*",Sheet1!$A$1:$F$93,5,FALSE)&amp;VLOOKUP("*"&amp;S4&amp;"*",Sheet1!$A$1:$F$93,6,FALSE)))</f>
        <v/>
      </c>
      <c r="S5" s="31"/>
      <c r="T5" s="30" t="str">
        <f>IF(ISNA(VLOOKUP("*"&amp;U4&amp;"*",Sheet1!$A$1:$F$93,5,FALSE)),"",IF(VLOOKUP("*"&amp;U4&amp;"*",Sheet1!$A$1:$F$93,5,FALSE)="",MID(VLOOKUP("*"&amp;U4&amp;"*",Sheet1!$A$1:$F$93,4,FALSE),5,8)&amp;VLOOKUP("*"&amp;U4&amp;"*",Sheet1!$A$1:$F$93,6,FALSE),VLOOKUP("*"&amp;U4&amp;"*",Sheet1!$A$1:$F$93,5,FALSE)&amp;VLOOKUP("*"&amp;U4&amp;"*",Sheet1!$A$1:$F$93,6,FALSE)))</f>
        <v/>
      </c>
      <c r="U5" s="31"/>
    </row>
    <row r="6" spans="1:21" ht="21" customHeight="1">
      <c r="A6" s="32" t="s">
        <v>12</v>
      </c>
      <c r="B6" s="33"/>
      <c r="C6" s="34" t="s">
        <v>12</v>
      </c>
      <c r="D6" s="35"/>
      <c r="E6" s="33" t="s">
        <v>12</v>
      </c>
      <c r="F6" s="35"/>
      <c r="G6" s="33" t="s">
        <v>12</v>
      </c>
      <c r="H6" s="35"/>
      <c r="I6" s="33" t="s">
        <v>12</v>
      </c>
      <c r="J6" s="36"/>
      <c r="K6" s="6"/>
      <c r="L6" s="37" t="s">
        <v>12</v>
      </c>
      <c r="M6" s="38"/>
      <c r="N6" s="39" t="s">
        <v>12</v>
      </c>
      <c r="O6" s="38"/>
      <c r="P6" s="33" t="s">
        <v>12</v>
      </c>
      <c r="Q6" s="35"/>
      <c r="R6" s="33" t="s">
        <v>12</v>
      </c>
      <c r="S6" s="35"/>
      <c r="T6" s="33" t="s">
        <v>12</v>
      </c>
      <c r="U6" s="36"/>
    </row>
    <row r="7" spans="1:21" ht="21" customHeight="1">
      <c r="A7" s="40" t="s">
        <v>0</v>
      </c>
      <c r="B7" s="41"/>
      <c r="C7" s="42" t="s">
        <v>0</v>
      </c>
      <c r="D7" s="43"/>
      <c r="E7" s="42" t="s">
        <v>0</v>
      </c>
      <c r="F7" s="43"/>
      <c r="G7" s="44" t="s">
        <v>0</v>
      </c>
      <c r="H7" s="43"/>
      <c r="I7" s="44" t="s">
        <v>0</v>
      </c>
      <c r="J7" s="45"/>
      <c r="K7" s="6"/>
      <c r="L7" s="46"/>
      <c r="M7" s="47"/>
      <c r="N7" s="48"/>
      <c r="O7" s="49"/>
      <c r="P7" s="50"/>
      <c r="Q7" s="51"/>
      <c r="R7" s="52"/>
      <c r="S7" s="53"/>
      <c r="T7" s="52"/>
      <c r="U7" s="54"/>
    </row>
    <row r="8" spans="1:21" ht="21" customHeight="1">
      <c r="A8" s="21" t="s">
        <v>1</v>
      </c>
      <c r="B8" s="22" t="s">
        <v>13</v>
      </c>
      <c r="C8" s="23" t="s">
        <v>1</v>
      </c>
      <c r="D8" s="22" t="s">
        <v>14</v>
      </c>
      <c r="E8" s="23" t="s">
        <v>1</v>
      </c>
      <c r="F8" s="22" t="s">
        <v>15</v>
      </c>
      <c r="G8" s="23" t="s">
        <v>1</v>
      </c>
      <c r="H8" s="55" t="s">
        <v>16</v>
      </c>
      <c r="I8" s="23" t="s">
        <v>1</v>
      </c>
      <c r="J8" s="56" t="s">
        <v>17</v>
      </c>
      <c r="K8" s="6"/>
      <c r="L8" s="25" t="s">
        <v>1</v>
      </c>
      <c r="M8" s="55" t="s">
        <v>18</v>
      </c>
      <c r="N8" s="27" t="s">
        <v>1</v>
      </c>
      <c r="O8" s="55" t="s">
        <v>19</v>
      </c>
      <c r="P8" s="23" t="s">
        <v>1</v>
      </c>
      <c r="Q8" s="28" t="s">
        <v>20</v>
      </c>
      <c r="R8" s="23" t="s">
        <v>1</v>
      </c>
      <c r="S8" s="28" t="s">
        <v>21</v>
      </c>
      <c r="T8" s="23" t="s">
        <v>1</v>
      </c>
      <c r="U8" s="29" t="s">
        <v>22</v>
      </c>
    </row>
    <row r="9" spans="1:21" ht="21" customHeight="1">
      <c r="A9" s="30" t="str">
        <f>IF(ISNA(VLOOKUP("*"&amp;B8&amp;"*",Sheet1!$A$1:$F$93,5,FALSE)),"",IF(VLOOKUP("*"&amp;B8&amp;"*",Sheet1!$A$1:$F$93,5,FALSE)="",MID(VLOOKUP("*"&amp;B8&amp;"*",Sheet1!$A$1:$F$93,4,FALSE),5,8)&amp;VLOOKUP("*"&amp;B8&amp;"*",Sheet1!$A$1:$F$93,6,FALSE),VLOOKUP("*"&amp;B8&amp;"*",Sheet1!$A$1:$F$93,5,FALSE)&amp;VLOOKUP("*"&amp;B8&amp;"*",Sheet1!$A$1:$F$93,6,FALSE)))</f>
        <v/>
      </c>
      <c r="B9" s="31"/>
      <c r="C9" s="30" t="str">
        <f>IF(ISNA(VLOOKUP("*"&amp;D8&amp;"*",Sheet1!$A$1:$F$93,5,FALSE)),"",IF(VLOOKUP("*"&amp;D8&amp;"*",Sheet1!$A$1:$F$93,5,FALSE)="",MID(VLOOKUP("*"&amp;D8&amp;"*",Sheet1!$A$1:$F$93,4,FALSE),5,8)&amp;VLOOKUP("*"&amp;D8&amp;"*",Sheet1!$A$1:$F$93,6,FALSE),VLOOKUP("*"&amp;D8&amp;"*",Sheet1!$A$1:$F$93,5,FALSE)&amp;VLOOKUP("*"&amp;D8&amp;"*",Sheet1!$A$1:$F$93,6,FALSE)))</f>
        <v/>
      </c>
      <c r="D9" s="31"/>
      <c r="E9" s="30" t="str">
        <f>IF(ISNA(VLOOKUP("*"&amp;F8&amp;"*",Sheet1!$A$1:$F$93,5,FALSE)),"",IF(VLOOKUP("*"&amp;F8&amp;"*",Sheet1!$A$1:$F$93,5,FALSE)="",MID(VLOOKUP("*"&amp;F8&amp;"*",Sheet1!$A$1:$F$93,4,FALSE),5,8)&amp;VLOOKUP("*"&amp;F8&amp;"*",Sheet1!$A$1:$F$93,6,FALSE),VLOOKUP("*"&amp;F8&amp;"*",Sheet1!$A$1:$F$93,5,FALSE)&amp;VLOOKUP("*"&amp;F8&amp;"*",Sheet1!$A$1:$F$93,6,FALSE)))</f>
        <v/>
      </c>
      <c r="F9" s="31"/>
      <c r="G9" s="30" t="str">
        <f>IF(ISNA(VLOOKUP("*"&amp;H8&amp;"*",Sheet1!$A$1:$F$93,5,FALSE)),"",IF(VLOOKUP("*"&amp;H8&amp;"*",Sheet1!$A$1:$F$93,5,FALSE)="",MID(VLOOKUP("*"&amp;H8&amp;"*",Sheet1!$A$1:$F$93,4,FALSE),5,8)&amp;VLOOKUP("*"&amp;H8&amp;"*",Sheet1!$A$1:$F$93,6,FALSE),VLOOKUP("*"&amp;H8&amp;"*",Sheet1!$A$1:$F$93,5,FALSE)&amp;VLOOKUP("*"&amp;H8&amp;"*",Sheet1!$A$1:$F$93,6,FALSE)))</f>
        <v/>
      </c>
      <c r="H9" s="31"/>
      <c r="I9" s="30" t="str">
        <f>IF(ISNA(VLOOKUP("*"&amp;J8&amp;"*",Sheet1!$A$1:$F$93,5,FALSE)),"",IF(VLOOKUP("*"&amp;J8&amp;"*",Sheet1!$A$1:$F$93,5,FALSE)="",MID(VLOOKUP("*"&amp;J8&amp;"*",Sheet1!$A$1:$F$93,4,FALSE),5,8)&amp;VLOOKUP("*"&amp;J8&amp;"*",Sheet1!$A$1:$F$93,6,FALSE),VLOOKUP("*"&amp;J8&amp;"*",Sheet1!$A$1:$F$93,5,FALSE)&amp;VLOOKUP("*"&amp;J8&amp;"*",Sheet1!$A$1:$F$93,6,FALSE)))</f>
        <v/>
      </c>
      <c r="J9" s="31"/>
      <c r="K9" s="6"/>
      <c r="L9" s="30" t="str">
        <f>IF(ISNA(VLOOKUP("*"&amp;M8&amp;"*",Sheet1!$A$1:$F$93,5,FALSE)),"",IF(VLOOKUP("*"&amp;M8&amp;"*",Sheet1!$A$1:$F$93,5,FALSE)="",MID(VLOOKUP("*"&amp;M8&amp;"*",Sheet1!$A$1:$F$93,4,FALSE),5,8)&amp;VLOOKUP("*"&amp;M8&amp;"*",Sheet1!$A$1:$F$93,6,FALSE),VLOOKUP("*"&amp;M8&amp;"*",Sheet1!$A$1:$F$93,5,FALSE)&amp;VLOOKUP("*"&amp;M8&amp;"*",Sheet1!$A$1:$F$93,6,FALSE)))</f>
        <v/>
      </c>
      <c r="M9" s="31"/>
      <c r="N9" s="30" t="str">
        <f>IF(ISNA(VLOOKUP("*"&amp;O8&amp;"*",Sheet1!$A$1:$F$93,5,FALSE)),"",IF(VLOOKUP("*"&amp;O8&amp;"*",Sheet1!$A$1:$F$93,5,FALSE)="",MID(VLOOKUP("*"&amp;O8&amp;"*",Sheet1!$A$1:$F$93,4,FALSE),5,8)&amp;VLOOKUP("*"&amp;O8&amp;"*",Sheet1!$A$1:$F$93,6,FALSE),VLOOKUP("*"&amp;O8&amp;"*",Sheet1!$A$1:$F$93,5,FALSE)&amp;VLOOKUP("*"&amp;O8&amp;"*",Sheet1!$A$1:$F$93,6,FALSE)))</f>
        <v/>
      </c>
      <c r="O9" s="31"/>
      <c r="P9" s="30" t="str">
        <f>IF(ISNA(VLOOKUP("*"&amp;Q8&amp;"*",Sheet1!$A$1:$F$93,5,FALSE)),"",IF(VLOOKUP("*"&amp;Q8&amp;"*",Sheet1!$A$1:$F$93,5,FALSE)="",MID(VLOOKUP("*"&amp;Q8&amp;"*",Sheet1!$A$1:$F$93,4,FALSE),5,8)&amp;VLOOKUP("*"&amp;Q8&amp;"*",Sheet1!$A$1:$F$93,6,FALSE),VLOOKUP("*"&amp;Q8&amp;"*",Sheet1!$A$1:$F$93,5,FALSE)&amp;VLOOKUP("*"&amp;Q8&amp;"*",Sheet1!$A$1:$F$93,6,FALSE)))</f>
        <v/>
      </c>
      <c r="Q9" s="31"/>
      <c r="R9" s="30" t="str">
        <f>IF(ISNA(VLOOKUP("*"&amp;S8&amp;"*",Sheet1!$A$1:$F$93,5,FALSE)),"",IF(VLOOKUP("*"&amp;S8&amp;"*",Sheet1!$A$1:$F$93,5,FALSE)="",MID(VLOOKUP("*"&amp;S8&amp;"*",Sheet1!$A$1:$F$93,4,FALSE),5,8)&amp;VLOOKUP("*"&amp;S8&amp;"*",Sheet1!$A$1:$F$93,6,FALSE),VLOOKUP("*"&amp;S8&amp;"*",Sheet1!$A$1:$F$93,5,FALSE)&amp;VLOOKUP("*"&amp;S8&amp;"*",Sheet1!$A$1:$F$93,6,FALSE)))</f>
        <v/>
      </c>
      <c r="S9" s="31"/>
      <c r="T9" s="30" t="str">
        <f>IF(ISNA(VLOOKUP("*"&amp;U8&amp;"*",Sheet1!$A$1:$F$93,5,FALSE)),"",IF(VLOOKUP("*"&amp;U8&amp;"*",Sheet1!$A$1:$F$93,5,FALSE)="",MID(VLOOKUP("*"&amp;U8&amp;"*",Sheet1!$A$1:$F$93,4,FALSE),5,8)&amp;VLOOKUP("*"&amp;U8&amp;"*",Sheet1!$A$1:$F$93,6,FALSE),VLOOKUP("*"&amp;U8&amp;"*",Sheet1!$A$1:$F$93,5,FALSE)&amp;VLOOKUP("*"&amp;U8&amp;"*",Sheet1!$A$1:$F$93,6,FALSE)))</f>
        <v/>
      </c>
      <c r="U9" s="31"/>
    </row>
    <row r="10" spans="1:21" ht="21" customHeight="1">
      <c r="A10" s="32" t="s">
        <v>12</v>
      </c>
      <c r="B10" s="33"/>
      <c r="C10" s="34" t="s">
        <v>12</v>
      </c>
      <c r="D10" s="35"/>
      <c r="E10" s="33" t="s">
        <v>12</v>
      </c>
      <c r="F10" s="35"/>
      <c r="G10" s="33" t="s">
        <v>12</v>
      </c>
      <c r="H10" s="35"/>
      <c r="I10" s="33" t="s">
        <v>12</v>
      </c>
      <c r="J10" s="36"/>
      <c r="K10" s="6"/>
      <c r="L10" s="37" t="s">
        <v>12</v>
      </c>
      <c r="M10" s="38"/>
      <c r="N10" s="39" t="s">
        <v>12</v>
      </c>
      <c r="O10" s="38"/>
      <c r="P10" s="33" t="s">
        <v>12</v>
      </c>
      <c r="Q10" s="35"/>
      <c r="R10" s="33" t="s">
        <v>12</v>
      </c>
      <c r="S10" s="35"/>
      <c r="T10" s="33" t="s">
        <v>12</v>
      </c>
      <c r="U10" s="36"/>
    </row>
    <row r="11" spans="1:21" ht="21" customHeight="1">
      <c r="A11" s="57" t="s">
        <v>0</v>
      </c>
      <c r="B11" s="58"/>
      <c r="C11" s="59" t="s">
        <v>0</v>
      </c>
      <c r="D11" s="60"/>
      <c r="E11" s="59" t="s">
        <v>0</v>
      </c>
      <c r="F11" s="60"/>
      <c r="G11" s="61" t="s">
        <v>0</v>
      </c>
      <c r="H11" s="60"/>
      <c r="I11" s="59" t="s">
        <v>0</v>
      </c>
      <c r="J11" s="62"/>
      <c r="K11" s="6"/>
      <c r="L11" s="63"/>
      <c r="M11" s="64"/>
      <c r="N11" s="65"/>
      <c r="O11" s="66"/>
      <c r="P11" s="52"/>
      <c r="Q11" s="53"/>
      <c r="R11" s="52"/>
      <c r="S11" s="53"/>
      <c r="T11" s="52"/>
      <c r="U11" s="54"/>
    </row>
    <row r="12" spans="1:21" ht="21" customHeight="1">
      <c r="A12" s="21" t="s">
        <v>1</v>
      </c>
      <c r="B12" s="26" t="s">
        <v>23</v>
      </c>
      <c r="C12" s="23" t="s">
        <v>1</v>
      </c>
      <c r="D12" s="22" t="s">
        <v>24</v>
      </c>
      <c r="E12" s="23" t="s">
        <v>1</v>
      </c>
      <c r="F12" s="22" t="s">
        <v>25</v>
      </c>
      <c r="G12" s="23" t="s">
        <v>1</v>
      </c>
      <c r="H12" s="26" t="s">
        <v>26</v>
      </c>
      <c r="I12" s="23" t="s">
        <v>1</v>
      </c>
      <c r="J12" s="24" t="s">
        <v>27</v>
      </c>
      <c r="K12" s="23"/>
      <c r="L12" s="25" t="s">
        <v>1</v>
      </c>
      <c r="M12" s="55" t="s">
        <v>28</v>
      </c>
      <c r="N12" s="27" t="s">
        <v>1</v>
      </c>
      <c r="O12" s="26" t="s">
        <v>29</v>
      </c>
      <c r="P12" s="23" t="s">
        <v>1</v>
      </c>
      <c r="Q12" s="28" t="s">
        <v>30</v>
      </c>
      <c r="R12" s="23" t="s">
        <v>1</v>
      </c>
      <c r="S12" s="28" t="s">
        <v>31</v>
      </c>
      <c r="T12" s="23" t="s">
        <v>1</v>
      </c>
      <c r="U12" s="29" t="s">
        <v>32</v>
      </c>
    </row>
    <row r="13" spans="1:21" ht="21" customHeight="1">
      <c r="A13" s="30" t="str">
        <f>IF(ISNA(VLOOKUP("*"&amp;B12&amp;"*",Sheet1!$A$1:$F$93,5,FALSE)),"",IF(VLOOKUP("*"&amp;B12&amp;"*",Sheet1!$A$1:$F$93,5,FALSE)="",MID(VLOOKUP("*"&amp;B12&amp;"*",Sheet1!$A$1:$F$93,4,FALSE),5,8)&amp;VLOOKUP("*"&amp;B12&amp;"*",Sheet1!$A$1:$F$93,6,FALSE),VLOOKUP("*"&amp;B12&amp;"*",Sheet1!$A$1:$F$93,5,FALSE)&amp;VLOOKUP("*"&amp;B12&amp;"*",Sheet1!$A$1:$F$93,6,FALSE)))</f>
        <v/>
      </c>
      <c r="B13" s="31"/>
      <c r="C13" s="30" t="str">
        <f>IF(ISNA(VLOOKUP("*"&amp;D12&amp;"*",Sheet1!$A$1:$F$93,5,FALSE)),"",IF(VLOOKUP("*"&amp;D12&amp;"*",Sheet1!$A$1:$F$93,5,FALSE)="",MID(VLOOKUP("*"&amp;D12&amp;"*",Sheet1!$A$1:$F$93,4,FALSE),5,8)&amp;VLOOKUP("*"&amp;D12&amp;"*",Sheet1!$A$1:$F$93,6,FALSE),VLOOKUP("*"&amp;D12&amp;"*",Sheet1!$A$1:$F$93,5,FALSE)&amp;VLOOKUP("*"&amp;D12&amp;"*",Sheet1!$A$1:$F$93,6,FALSE)))</f>
        <v/>
      </c>
      <c r="D13" s="31"/>
      <c r="E13" s="30" t="str">
        <f>IF(ISNA(VLOOKUP("*"&amp;F12&amp;"*",Sheet1!$A$1:$F$93,5,FALSE)),"",IF(VLOOKUP("*"&amp;F12&amp;"*",Sheet1!$A$1:$F$93,5,FALSE)="",MID(VLOOKUP("*"&amp;F12&amp;"*",Sheet1!$A$1:$F$93,4,FALSE),5,8)&amp;VLOOKUP("*"&amp;F12&amp;"*",Sheet1!$A$1:$F$93,6,FALSE),VLOOKUP("*"&amp;F12&amp;"*",Sheet1!$A$1:$F$93,5,FALSE)&amp;VLOOKUP("*"&amp;F12&amp;"*",Sheet1!$A$1:$F$93,6,FALSE)))</f>
        <v/>
      </c>
      <c r="F13" s="31"/>
      <c r="G13" s="30" t="str">
        <f>IF(ISNA(VLOOKUP("*"&amp;H12&amp;"*",Sheet1!$A$1:$F$93,5,FALSE)),"",IF(VLOOKUP("*"&amp;H12&amp;"*",Sheet1!$A$1:$F$93,5,FALSE)="",MID(VLOOKUP("*"&amp;H12&amp;"*",Sheet1!$A$1:$F$93,4,FALSE),5,8)&amp;VLOOKUP("*"&amp;H12&amp;"*",Sheet1!$A$1:$F$93,6,FALSE),VLOOKUP("*"&amp;H12&amp;"*",Sheet1!$A$1:$F$93,5,FALSE)&amp;VLOOKUP("*"&amp;H12&amp;"*",Sheet1!$A$1:$F$93,6,FALSE)))</f>
        <v/>
      </c>
      <c r="H13" s="31"/>
      <c r="I13" s="30" t="str">
        <f>IF(ISNA(VLOOKUP("*"&amp;J12&amp;"*",Sheet1!$A$1:$F$93,5,FALSE)),"",IF(VLOOKUP("*"&amp;J12&amp;"*",Sheet1!$A$1:$F$93,5,FALSE)="",MID(VLOOKUP("*"&amp;J12&amp;"*",Sheet1!$A$1:$F$93,4,FALSE),5,8)&amp;VLOOKUP("*"&amp;J12&amp;"*",Sheet1!$A$1:$F$93,6,FALSE),VLOOKUP("*"&amp;J12&amp;"*",Sheet1!$A$1:$F$93,5,FALSE)&amp;VLOOKUP("*"&amp;J12&amp;"*",Sheet1!$A$1:$F$93,6,FALSE)))</f>
        <v/>
      </c>
      <c r="J13" s="31"/>
      <c r="K13" s="67"/>
      <c r="L13" s="30" t="str">
        <f>IF(ISNA(VLOOKUP("*"&amp;M12&amp;"*",Sheet1!$A$1:$F$93,5,FALSE)),"",IF(VLOOKUP("*"&amp;M12&amp;"*",Sheet1!$A$1:$F$93,5,FALSE)="",MID(VLOOKUP("*"&amp;M12&amp;"*",Sheet1!$A$1:$F$93,4,FALSE),5,8)&amp;VLOOKUP("*"&amp;M12&amp;"*",Sheet1!$A$1:$F$93,6,FALSE),VLOOKUP("*"&amp;M12&amp;"*",Sheet1!$A$1:$F$93,5,FALSE)&amp;VLOOKUP("*"&amp;M12&amp;"*",Sheet1!$A$1:$F$93,6,FALSE)))</f>
        <v/>
      </c>
      <c r="M13" s="31"/>
      <c r="N13" s="30" t="str">
        <f>IF(ISNA(VLOOKUP("*"&amp;O12&amp;"*",Sheet1!$A$1:$F$93,5,FALSE)),"",IF(VLOOKUP("*"&amp;O12&amp;"*",Sheet1!$A$1:$F$93,5,FALSE)="",MID(VLOOKUP("*"&amp;O12&amp;"*",Sheet1!$A$1:$F$93,4,FALSE),5,8)&amp;VLOOKUP("*"&amp;O12&amp;"*",Sheet1!$A$1:$F$93,6,FALSE),VLOOKUP("*"&amp;O12&amp;"*",Sheet1!$A$1:$F$93,5,FALSE)&amp;VLOOKUP("*"&amp;O12&amp;"*",Sheet1!$A$1:$F$93,6,FALSE)))</f>
        <v/>
      </c>
      <c r="O13" s="31"/>
      <c r="P13" s="30" t="str">
        <f>IF(ISNA(VLOOKUP("*"&amp;Q12&amp;"*",Sheet1!$A$1:$F$93,5,FALSE)),"",IF(VLOOKUP("*"&amp;Q12&amp;"*",Sheet1!$A$1:$F$93,5,FALSE)="",MID(VLOOKUP("*"&amp;Q12&amp;"*",Sheet1!$A$1:$F$93,4,FALSE),5,8)&amp;VLOOKUP("*"&amp;Q12&amp;"*",Sheet1!$A$1:$F$93,6,FALSE),VLOOKUP("*"&amp;Q12&amp;"*",Sheet1!$A$1:$F$93,5,FALSE)&amp;VLOOKUP("*"&amp;Q12&amp;"*",Sheet1!$A$1:$F$93,6,FALSE)))</f>
        <v/>
      </c>
      <c r="Q13" s="31"/>
      <c r="R13" s="30" t="str">
        <f>IF(ISNA(VLOOKUP("*"&amp;S12&amp;"*",Sheet1!$A$1:$F$93,5,FALSE)),"",IF(VLOOKUP("*"&amp;S12&amp;"*",Sheet1!$A$1:$F$93,5,FALSE)="",MID(VLOOKUP("*"&amp;S12&amp;"*",Sheet1!$A$1:$F$93,4,FALSE),5,8)&amp;VLOOKUP("*"&amp;S12&amp;"*",Sheet1!$A$1:$F$93,6,FALSE),VLOOKUP("*"&amp;S12&amp;"*",Sheet1!$A$1:$F$93,5,FALSE)&amp;VLOOKUP("*"&amp;S12&amp;"*",Sheet1!$A$1:$F$93,6,FALSE)))</f>
        <v/>
      </c>
      <c r="S13" s="31"/>
      <c r="T13" s="30" t="str">
        <f>IF(ISNA(VLOOKUP("*"&amp;U12&amp;"*",Sheet1!$A$1:$F$93,5,FALSE)),"",IF(VLOOKUP("*"&amp;U12&amp;"*",Sheet1!$A$1:$F$93,5,FALSE)="",MID(VLOOKUP("*"&amp;U12&amp;"*",Sheet1!$A$1:$F$93,4,FALSE),5,8)&amp;VLOOKUP("*"&amp;U12&amp;"*",Sheet1!$A$1:$F$93,6,FALSE),VLOOKUP("*"&amp;U12&amp;"*",Sheet1!$A$1:$F$93,5,FALSE)&amp;VLOOKUP("*"&amp;U12&amp;"*",Sheet1!$A$1:$F$93,6,FALSE)))</f>
        <v/>
      </c>
      <c r="U13" s="31"/>
    </row>
    <row r="14" spans="1:21" ht="21" customHeight="1">
      <c r="A14" s="32" t="s">
        <v>12</v>
      </c>
      <c r="B14" s="33"/>
      <c r="C14" s="34" t="s">
        <v>12</v>
      </c>
      <c r="D14" s="35"/>
      <c r="E14" s="33" t="s">
        <v>12</v>
      </c>
      <c r="F14" s="35"/>
      <c r="G14" s="33" t="s">
        <v>12</v>
      </c>
      <c r="H14" s="35"/>
      <c r="I14" s="33" t="s">
        <v>12</v>
      </c>
      <c r="J14" s="36"/>
      <c r="K14" s="6"/>
      <c r="L14" s="37" t="s">
        <v>12</v>
      </c>
      <c r="M14" s="38"/>
      <c r="N14" s="39" t="s">
        <v>12</v>
      </c>
      <c r="O14" s="38"/>
      <c r="P14" s="33" t="s">
        <v>12</v>
      </c>
      <c r="Q14" s="35"/>
      <c r="R14" s="33" t="s">
        <v>12</v>
      </c>
      <c r="S14" s="35"/>
      <c r="T14" s="33" t="s">
        <v>12</v>
      </c>
      <c r="U14" s="36"/>
    </row>
    <row r="15" spans="1:21" ht="21" customHeight="1">
      <c r="A15" s="68" t="s">
        <v>0</v>
      </c>
      <c r="B15" s="69"/>
      <c r="C15" s="70" t="s">
        <v>0</v>
      </c>
      <c r="D15" s="71"/>
      <c r="E15" s="44" t="s">
        <v>0</v>
      </c>
      <c r="F15" s="43"/>
      <c r="G15" s="44" t="s">
        <v>0</v>
      </c>
      <c r="H15" s="43"/>
      <c r="I15" s="44" t="s">
        <v>0</v>
      </c>
      <c r="J15" s="45"/>
      <c r="K15" s="6"/>
      <c r="L15" s="63"/>
      <c r="M15" s="64"/>
      <c r="N15" s="48"/>
      <c r="O15" s="66"/>
      <c r="P15" s="52"/>
      <c r="Q15" s="53"/>
      <c r="R15" s="52"/>
      <c r="S15" s="53"/>
      <c r="T15" s="52"/>
      <c r="U15" s="54"/>
    </row>
    <row r="16" spans="1:21" ht="21" customHeight="1">
      <c r="A16" s="21" t="s">
        <v>1</v>
      </c>
      <c r="B16" s="26" t="s">
        <v>33</v>
      </c>
      <c r="C16" s="23" t="s">
        <v>1</v>
      </c>
      <c r="D16" s="26" t="s">
        <v>34</v>
      </c>
      <c r="E16" s="23" t="s">
        <v>1</v>
      </c>
      <c r="F16" s="55" t="s">
        <v>35</v>
      </c>
      <c r="G16" s="23" t="s">
        <v>1</v>
      </c>
      <c r="H16" s="26" t="s">
        <v>36</v>
      </c>
      <c r="I16" s="23" t="s">
        <v>1</v>
      </c>
      <c r="J16" s="56" t="s">
        <v>37</v>
      </c>
      <c r="K16" s="23"/>
      <c r="L16" s="25" t="s">
        <v>1</v>
      </c>
      <c r="M16" s="26" t="s">
        <v>38</v>
      </c>
      <c r="N16" s="27" t="s">
        <v>1</v>
      </c>
      <c r="O16" s="26" t="s">
        <v>39</v>
      </c>
      <c r="P16" s="23" t="s">
        <v>1</v>
      </c>
      <c r="Q16" s="28" t="s">
        <v>40</v>
      </c>
      <c r="R16" s="23" t="s">
        <v>1</v>
      </c>
      <c r="S16" s="28" t="s">
        <v>41</v>
      </c>
      <c r="T16" s="23" t="s">
        <v>1</v>
      </c>
      <c r="U16" s="29" t="s">
        <v>42</v>
      </c>
    </row>
    <row r="17" spans="1:22" ht="21" customHeight="1">
      <c r="A17" s="30" t="str">
        <f>IF(ISNA(VLOOKUP("*"&amp;B16&amp;"*",Sheet1!$A$1:$F$93,5,FALSE)),"",IF(VLOOKUP("*"&amp;B16&amp;"*",Sheet1!$A$1:$F$93,5,FALSE)="",MID(VLOOKUP("*"&amp;B16&amp;"*",Sheet1!$A$1:$F$93,4,FALSE),5,8)&amp;VLOOKUP("*"&amp;B16&amp;"*",Sheet1!$A$1:$F$93,6,FALSE),VLOOKUP("*"&amp;B16&amp;"*",Sheet1!$A$1:$F$93,5,FALSE)&amp;VLOOKUP("*"&amp;B16&amp;"*",Sheet1!$A$1:$F$93,6,FALSE)))</f>
        <v/>
      </c>
      <c r="B17" s="31"/>
      <c r="C17" s="30" t="str">
        <f>IF(ISNA(VLOOKUP("*"&amp;D16&amp;"*",Sheet1!$A$1:$F$93,5,FALSE)),"",IF(VLOOKUP("*"&amp;D16&amp;"*",Sheet1!$A$1:$F$93,5,FALSE)="",MID(VLOOKUP("*"&amp;D16&amp;"*",Sheet1!$A$1:$F$93,4,FALSE),5,8)&amp;VLOOKUP("*"&amp;D16&amp;"*",Sheet1!$A$1:$F$93,6,FALSE),VLOOKUP("*"&amp;D16&amp;"*",Sheet1!$A$1:$F$93,5,FALSE)&amp;VLOOKUP("*"&amp;D16&amp;"*",Sheet1!$A$1:$F$93,6,FALSE)))</f>
        <v/>
      </c>
      <c r="D17" s="31"/>
      <c r="E17" s="30" t="str">
        <f>IF(ISNA(VLOOKUP("*"&amp;F16&amp;"*",Sheet1!$A$1:$F$93,5,FALSE)),"",IF(VLOOKUP("*"&amp;F16&amp;"*",Sheet1!$A$1:$F$93,5,FALSE)="",MID(VLOOKUP("*"&amp;F16&amp;"*",Sheet1!$A$1:$F$93,4,FALSE),5,8)&amp;VLOOKUP("*"&amp;F16&amp;"*",Sheet1!$A$1:$F$93,6,FALSE),VLOOKUP("*"&amp;F16&amp;"*",Sheet1!$A$1:$F$93,5,FALSE)&amp;VLOOKUP("*"&amp;F16&amp;"*",Sheet1!$A$1:$F$93,6,FALSE)))</f>
        <v/>
      </c>
      <c r="F17" s="31"/>
      <c r="G17" s="30" t="str">
        <f>IF(ISNA(VLOOKUP("*"&amp;H16&amp;"*",Sheet1!$A$1:$F$93,5,FALSE)),"",IF(VLOOKUP("*"&amp;H16&amp;"*",Sheet1!$A$1:$F$93,5,FALSE)="",MID(VLOOKUP("*"&amp;H16&amp;"*",Sheet1!$A$1:$F$93,4,FALSE),5,8)&amp;VLOOKUP("*"&amp;H16&amp;"*",Sheet1!$A$1:$F$93,6,FALSE),VLOOKUP("*"&amp;H16&amp;"*",Sheet1!$A$1:$F$93,5,FALSE)&amp;VLOOKUP("*"&amp;H16&amp;"*",Sheet1!$A$1:$F$93,6,FALSE)))</f>
        <v/>
      </c>
      <c r="H17" s="31"/>
      <c r="I17" s="30" t="str">
        <f>IF(ISNA(VLOOKUP("*"&amp;J16&amp;"*",Sheet1!$A$1:$F$93,5,FALSE)),"",IF(VLOOKUP("*"&amp;J16&amp;"*",Sheet1!$A$1:$F$93,5,FALSE)="",MID(VLOOKUP("*"&amp;J16&amp;"*",Sheet1!$A$1:$F$93,4,FALSE),5,8)&amp;VLOOKUP("*"&amp;J16&amp;"*",Sheet1!$A$1:$F$93,6,FALSE),VLOOKUP("*"&amp;J16&amp;"*",Sheet1!$A$1:$F$93,5,FALSE)&amp;VLOOKUP("*"&amp;J16&amp;"*",Sheet1!$A$1:$F$93,6,FALSE)))</f>
        <v/>
      </c>
      <c r="J17" s="31"/>
      <c r="K17" s="6"/>
      <c r="L17" s="30" t="str">
        <f>IF(ISNA(VLOOKUP("*"&amp;M16&amp;"*",Sheet1!$A$1:$F$93,5,FALSE)),"",IF(VLOOKUP("*"&amp;M16&amp;"*",Sheet1!$A$1:$F$93,5,FALSE)="",MID(VLOOKUP("*"&amp;M16&amp;"*",Sheet1!$A$1:$F$93,4,FALSE),5,8)&amp;VLOOKUP("*"&amp;M16&amp;"*",Sheet1!$A$1:$F$93,6,FALSE),VLOOKUP("*"&amp;M16&amp;"*",Sheet1!$A$1:$F$93,5,FALSE)&amp;VLOOKUP("*"&amp;M16&amp;"*",Sheet1!$A$1:$F$93,6,FALSE)))</f>
        <v/>
      </c>
      <c r="M17" s="31"/>
      <c r="N17" s="30" t="str">
        <f>IF(ISNA(VLOOKUP("*"&amp;O16&amp;"*",Sheet1!$A$1:$F$93,5,FALSE)),"",IF(VLOOKUP("*"&amp;O16&amp;"*",Sheet1!$A$1:$F$93,5,FALSE)="",MID(VLOOKUP("*"&amp;O16&amp;"*",Sheet1!$A$1:$F$93,4,FALSE),5,8)&amp;VLOOKUP("*"&amp;O16&amp;"*",Sheet1!$A$1:$F$93,6,FALSE),VLOOKUP("*"&amp;O16&amp;"*",Sheet1!$A$1:$F$93,5,FALSE)&amp;VLOOKUP("*"&amp;O16&amp;"*",Sheet1!$A$1:$F$93,6,FALSE)))</f>
        <v/>
      </c>
      <c r="O17" s="31"/>
      <c r="P17" s="30" t="str">
        <f>IF(ISNA(VLOOKUP("*"&amp;Q16&amp;"*",Sheet1!$A$1:$F$93,5,FALSE)),"",IF(VLOOKUP("*"&amp;Q16&amp;"*",Sheet1!$A$1:$F$93,5,FALSE)="",MID(VLOOKUP("*"&amp;Q16&amp;"*",Sheet1!$A$1:$F$93,4,FALSE),5,8)&amp;VLOOKUP("*"&amp;Q16&amp;"*",Sheet1!$A$1:$F$93,6,FALSE),VLOOKUP("*"&amp;Q16&amp;"*",Sheet1!$A$1:$F$93,5,FALSE)&amp;VLOOKUP("*"&amp;Q16&amp;"*",Sheet1!$A$1:$F$93,6,FALSE)))</f>
        <v/>
      </c>
      <c r="Q17" s="31"/>
      <c r="R17" s="30" t="str">
        <f>IF(ISNA(VLOOKUP("*"&amp;S16&amp;"*",Sheet1!$A$1:$F$93,5,FALSE)),"",IF(VLOOKUP("*"&amp;S16&amp;"*",Sheet1!$A$1:$F$93,5,FALSE)="",MID(VLOOKUP("*"&amp;S16&amp;"*",Sheet1!$A$1:$F$93,4,FALSE),5,8)&amp;VLOOKUP("*"&amp;S16&amp;"*",Sheet1!$A$1:$F$93,6,FALSE),VLOOKUP("*"&amp;S16&amp;"*",Sheet1!$A$1:$F$93,5,FALSE)&amp;VLOOKUP("*"&amp;S16&amp;"*",Sheet1!$A$1:$F$93,6,FALSE)))</f>
        <v/>
      </c>
      <c r="S17" s="31"/>
      <c r="T17" s="30" t="str">
        <f>IF(ISNA(VLOOKUP("*"&amp;U16&amp;"*",Sheet1!$A$1:$F$93,5,FALSE)),"",IF(VLOOKUP("*"&amp;U16&amp;"*",Sheet1!$A$1:$F$93,5,FALSE)="",MID(VLOOKUP("*"&amp;U16&amp;"*",Sheet1!$A$1:$F$93,4,FALSE),5,8)&amp;VLOOKUP("*"&amp;U16&amp;"*",Sheet1!$A$1:$F$93,6,FALSE),VLOOKUP("*"&amp;U16&amp;"*",Sheet1!$A$1:$F$93,5,FALSE)&amp;VLOOKUP("*"&amp;U16&amp;"*",Sheet1!$A$1:$F$93,6,FALSE)))</f>
        <v/>
      </c>
      <c r="U17" s="31"/>
    </row>
    <row r="18" spans="1:22" ht="21" customHeight="1" thickBot="1">
      <c r="A18" s="72" t="s">
        <v>12</v>
      </c>
      <c r="B18" s="73"/>
      <c r="C18" s="74" t="s">
        <v>12</v>
      </c>
      <c r="D18" s="75"/>
      <c r="E18" s="73" t="s">
        <v>12</v>
      </c>
      <c r="F18" s="75"/>
      <c r="G18" s="73" t="s">
        <v>12</v>
      </c>
      <c r="H18" s="75"/>
      <c r="I18" s="73" t="s">
        <v>12</v>
      </c>
      <c r="J18" s="76"/>
      <c r="K18" s="6"/>
      <c r="L18" s="72" t="s">
        <v>12</v>
      </c>
      <c r="M18" s="75"/>
      <c r="N18" s="73" t="s">
        <v>12</v>
      </c>
      <c r="O18" s="75"/>
      <c r="P18" s="73" t="s">
        <v>12</v>
      </c>
      <c r="Q18" s="75"/>
      <c r="R18" s="74" t="s">
        <v>12</v>
      </c>
      <c r="S18" s="75"/>
      <c r="T18" s="73" t="s">
        <v>12</v>
      </c>
      <c r="U18" s="76"/>
    </row>
    <row r="19" spans="1:22" ht="21" customHeight="1" thickTop="1" thickBot="1">
      <c r="A19" s="77"/>
      <c r="B19" s="6"/>
      <c r="C19" s="78"/>
      <c r="D19" s="78"/>
      <c r="E19" s="79"/>
      <c r="F19" s="79"/>
      <c r="G19" s="79"/>
      <c r="H19" s="79"/>
      <c r="I19" s="79"/>
      <c r="J19" s="79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2" ht="21" customHeight="1" thickTop="1">
      <c r="A20" s="80"/>
      <c r="B20" s="81"/>
      <c r="C20" s="18"/>
      <c r="D20" s="19"/>
      <c r="E20" s="18"/>
      <c r="F20" s="82"/>
      <c r="G20" s="18"/>
      <c r="H20" s="82"/>
      <c r="I20" s="83" t="s">
        <v>43</v>
      </c>
      <c r="J20" s="84"/>
      <c r="K20" s="85"/>
      <c r="L20" s="86" t="s">
        <v>44</v>
      </c>
      <c r="M20" s="17"/>
      <c r="N20" s="87"/>
      <c r="O20" s="88"/>
      <c r="P20" s="87"/>
      <c r="Q20" s="88"/>
      <c r="R20" s="87"/>
      <c r="S20" s="88"/>
      <c r="T20" s="89"/>
      <c r="U20" s="90"/>
    </row>
    <row r="21" spans="1:22" ht="21" customHeight="1">
      <c r="A21" s="21" t="s">
        <v>45</v>
      </c>
      <c r="B21" s="22" t="s">
        <v>46</v>
      </c>
      <c r="C21" s="23" t="s">
        <v>45</v>
      </c>
      <c r="D21" s="22" t="s">
        <v>47</v>
      </c>
      <c r="E21" s="23" t="s">
        <v>45</v>
      </c>
      <c r="F21" s="22" t="s">
        <v>48</v>
      </c>
      <c r="G21" s="23" t="s">
        <v>45</v>
      </c>
      <c r="H21" s="22" t="s">
        <v>49</v>
      </c>
      <c r="I21" s="23" t="s">
        <v>45</v>
      </c>
      <c r="J21" s="56" t="s">
        <v>50</v>
      </c>
      <c r="K21" s="91"/>
      <c r="L21" s="27" t="s">
        <v>51</v>
      </c>
      <c r="M21" s="92" t="s">
        <v>52</v>
      </c>
      <c r="N21" s="23" t="s">
        <v>51</v>
      </c>
      <c r="O21" s="22" t="s">
        <v>53</v>
      </c>
      <c r="P21" s="23" t="s">
        <v>51</v>
      </c>
      <c r="Q21" s="93" t="s">
        <v>54</v>
      </c>
      <c r="R21" s="23" t="s">
        <v>51</v>
      </c>
      <c r="S21" s="94" t="s">
        <v>55</v>
      </c>
      <c r="T21" s="23" t="s">
        <v>51</v>
      </c>
      <c r="U21" s="95" t="s">
        <v>56</v>
      </c>
    </row>
    <row r="22" spans="1:22" ht="21" customHeight="1">
      <c r="A22" s="30" t="str">
        <f>IF(ISNA(VLOOKUP("*"&amp;B21&amp;"*",Sheet1!$A$1:$F$93,5,FALSE)),"",IF(VLOOKUP("*"&amp;B21&amp;"*",Sheet1!$A$1:$F$93,5,FALSE)="",MID(VLOOKUP("*"&amp;B21&amp;"*",Sheet1!$A$1:$F$93,4,FALSE),5,8)&amp;VLOOKUP("*"&amp;B21&amp;"*",Sheet1!$A$1:$F$93,6,FALSE),VLOOKUP("*"&amp;B21&amp;"*",Sheet1!$A$1:$F$93,5,FALSE)&amp;VLOOKUP("*"&amp;B21&amp;"*",Sheet1!$A$1:$F$93,6,FALSE)))</f>
        <v/>
      </c>
      <c r="B22" s="31"/>
      <c r="C22" s="30" t="str">
        <f>IF(ISNA(VLOOKUP("*"&amp;D21&amp;"*",Sheet1!$A$1:$F$93,5,FALSE)),"",IF(VLOOKUP("*"&amp;D21&amp;"*",Sheet1!$A$1:$F$93,5,FALSE)="",MID(VLOOKUP("*"&amp;D21&amp;"*",Sheet1!$A$1:$F$93,4,FALSE),5,8)&amp;VLOOKUP("*"&amp;D21&amp;"*",Sheet1!$A$1:$F$93,6,FALSE),VLOOKUP("*"&amp;D21&amp;"*",Sheet1!$A$1:$F$93,5,FALSE)&amp;VLOOKUP("*"&amp;D21&amp;"*",Sheet1!$A$1:$F$93,6,FALSE)))</f>
        <v/>
      </c>
      <c r="D22" s="31"/>
      <c r="E22" s="30" t="str">
        <f>IF(ISNA(VLOOKUP("*"&amp;F21&amp;"*",Sheet1!$A$1:$F$93,5,FALSE)),"",IF(VLOOKUP("*"&amp;F21&amp;"*",Sheet1!$A$1:$F$93,5,FALSE)="",MID(VLOOKUP("*"&amp;F21&amp;"*",Sheet1!$A$1:$F$93,4,FALSE),5,8)&amp;VLOOKUP("*"&amp;F21&amp;"*",Sheet1!$A$1:$F$93,6,FALSE),VLOOKUP("*"&amp;F21&amp;"*",Sheet1!$A$1:$F$93,5,FALSE)&amp;VLOOKUP("*"&amp;F21&amp;"*",Sheet1!$A$1:$F$93,6,FALSE)))</f>
        <v/>
      </c>
      <c r="F22" s="31"/>
      <c r="G22" s="30" t="str">
        <f>IF(ISNA(VLOOKUP("*"&amp;H21&amp;"*",Sheet1!$A$1:$F$93,5,FALSE)),"",IF(VLOOKUP("*"&amp;H21&amp;"*",Sheet1!$A$1:$F$93,5,FALSE)="",MID(VLOOKUP("*"&amp;H21&amp;"*",Sheet1!$A$1:$F$93,4,FALSE),5,8)&amp;VLOOKUP("*"&amp;H21&amp;"*",Sheet1!$A$1:$F$93,6,FALSE),VLOOKUP("*"&amp;H21&amp;"*",Sheet1!$A$1:$F$93,5,FALSE)&amp;VLOOKUP("*"&amp;H21&amp;"*",Sheet1!$A$1:$F$93,6,FALSE)))</f>
        <v/>
      </c>
      <c r="H22" s="31"/>
      <c r="I22" s="30" t="str">
        <f>IF(ISNA(VLOOKUP("*"&amp;J21&amp;"*",Sheet1!$A$1:$F$93,5,FALSE)),"",IF(VLOOKUP("*"&amp;J21&amp;"*",Sheet1!$A$1:$F$93,5,FALSE)="",MID(VLOOKUP("*"&amp;J21&amp;"*",Sheet1!$A$1:$F$93,4,FALSE),5,8)&amp;VLOOKUP("*"&amp;J21&amp;"*",Sheet1!$A$1:$F$93,6,FALSE),VLOOKUP("*"&amp;J21&amp;"*",Sheet1!$A$1:$F$93,5,FALSE)&amp;VLOOKUP("*"&amp;J21&amp;"*",Sheet1!$A$1:$F$93,6,FALSE)))</f>
        <v/>
      </c>
      <c r="J22" s="31"/>
      <c r="K22" s="96"/>
      <c r="L22" s="30" t="str">
        <f>IF(ISNA(VLOOKUP("*"&amp;M21&amp;"*",Sheet1!$A$1:$F$93,5,FALSE)),"",IF(VLOOKUP("*"&amp;M21&amp;"*",Sheet1!$A$1:$F$93,5,FALSE)="",MID(VLOOKUP("*"&amp;M21&amp;"*",Sheet1!$A$1:$F$93,4,FALSE),5,8)&amp;VLOOKUP("*"&amp;M21&amp;"*",Sheet1!$A$1:$F$93,6,FALSE),VLOOKUP("*"&amp;M21&amp;"*",Sheet1!$A$1:$F$93,5,FALSE)&amp;VLOOKUP("*"&amp;M21&amp;"*",Sheet1!$A$1:$F$93,6,FALSE)))</f>
        <v/>
      </c>
      <c r="M22" s="31"/>
      <c r="N22" s="30" t="str">
        <f>IF(ISNA(VLOOKUP("*"&amp;O21&amp;"*",Sheet1!$A$1:$F$93,5,FALSE)),"",IF(VLOOKUP("*"&amp;O21&amp;"*",Sheet1!$A$1:$F$93,5,FALSE)="",MID(VLOOKUP("*"&amp;O21&amp;"*",Sheet1!$A$1:$F$93,4,FALSE),5,8)&amp;VLOOKUP("*"&amp;O21&amp;"*",Sheet1!$A$1:$F$93,6,FALSE),VLOOKUP("*"&amp;O21&amp;"*",Sheet1!$A$1:$F$93,5,FALSE)&amp;VLOOKUP("*"&amp;O21&amp;"*",Sheet1!$A$1:$F$93,6,FALSE)))</f>
        <v/>
      </c>
      <c r="O22" s="31"/>
      <c r="P22" s="30" t="str">
        <f>IF(ISNA(VLOOKUP("*"&amp;Q21&amp;"*",Sheet1!$A$1:$F$93,5,FALSE)),"",IF(VLOOKUP("*"&amp;Q21&amp;"*",Sheet1!$A$1:$F$93,5,FALSE)="",MID(VLOOKUP("*"&amp;Q21&amp;"*",Sheet1!$A$1:$F$93,4,FALSE),5,8)&amp;VLOOKUP("*"&amp;Q21&amp;"*",Sheet1!$A$1:$F$93,6,FALSE),VLOOKUP("*"&amp;Q21&amp;"*",Sheet1!$A$1:$F$93,5,FALSE)&amp;VLOOKUP("*"&amp;Q21&amp;"*",Sheet1!$A$1:$F$93,6,FALSE)))</f>
        <v/>
      </c>
      <c r="Q22" s="31"/>
      <c r="R22" s="30" t="str">
        <f>IF(ISNA(VLOOKUP("*"&amp;S21&amp;"*",Sheet1!$A$1:$F$93,5,FALSE)),"",IF(VLOOKUP("*"&amp;S21&amp;"*",Sheet1!$A$1:$F$93,5,FALSE)="",MID(VLOOKUP("*"&amp;S21&amp;"*",Sheet1!$A$1:$F$93,4,FALSE),5,8)&amp;VLOOKUP("*"&amp;S21&amp;"*",Sheet1!$A$1:$F$93,6,FALSE),VLOOKUP("*"&amp;S21&amp;"*",Sheet1!$A$1:$F$93,5,FALSE)&amp;VLOOKUP("*"&amp;S21&amp;"*",Sheet1!$A$1:$F$93,6,FALSE)))</f>
        <v/>
      </c>
      <c r="S22" s="31"/>
      <c r="T22" s="30" t="str">
        <f>IF(ISNA(VLOOKUP("*"&amp;U21&amp;"*",Sheet1!$A$1:$F$93,5,FALSE)),"",IF(VLOOKUP("*"&amp;U21&amp;"*",Sheet1!$A$1:$F$93,5,FALSE)="",MID(VLOOKUP("*"&amp;U21&amp;"*",Sheet1!$A$1:$F$93,4,FALSE),5,8)&amp;VLOOKUP("*"&amp;U21&amp;"*",Sheet1!$A$1:$F$93,6,FALSE),VLOOKUP("*"&amp;U21&amp;"*",Sheet1!$A$1:$F$93,5,FALSE)&amp;VLOOKUP("*"&amp;U21&amp;"*",Sheet1!$A$1:$F$93,6,FALSE)))</f>
        <v/>
      </c>
      <c r="U22" s="31"/>
    </row>
    <row r="23" spans="1:22" ht="21" customHeight="1">
      <c r="A23" s="97" t="s">
        <v>57</v>
      </c>
      <c r="B23" s="35"/>
      <c r="C23" s="33" t="s">
        <v>57</v>
      </c>
      <c r="D23" s="35"/>
      <c r="E23" s="33" t="s">
        <v>57</v>
      </c>
      <c r="F23" s="35"/>
      <c r="G23" s="33" t="s">
        <v>57</v>
      </c>
      <c r="H23" s="35"/>
      <c r="I23" s="33" t="s">
        <v>57</v>
      </c>
      <c r="J23" s="36"/>
      <c r="K23" s="85"/>
      <c r="L23" s="98" t="s">
        <v>58</v>
      </c>
      <c r="M23" s="99"/>
      <c r="N23" s="33" t="s">
        <v>12</v>
      </c>
      <c r="O23" s="35"/>
      <c r="P23" s="33" t="s">
        <v>12</v>
      </c>
      <c r="Q23" s="35"/>
      <c r="R23" s="33" t="s">
        <v>12</v>
      </c>
      <c r="S23" s="35"/>
      <c r="T23" s="33" t="s">
        <v>12</v>
      </c>
      <c r="U23" s="100"/>
      <c r="V23" s="101"/>
    </row>
    <row r="24" spans="1:22" ht="21" customHeight="1">
      <c r="A24" s="102"/>
      <c r="B24" s="103"/>
      <c r="C24" s="104"/>
      <c r="D24" s="105"/>
      <c r="E24" s="52"/>
      <c r="F24" s="105"/>
      <c r="G24" s="52"/>
      <c r="H24" s="53"/>
      <c r="I24" s="52" t="s">
        <v>59</v>
      </c>
      <c r="J24" s="54"/>
      <c r="K24" s="85"/>
      <c r="L24" s="65" t="s">
        <v>60</v>
      </c>
      <c r="M24" s="47"/>
      <c r="N24" s="106" t="s">
        <v>60</v>
      </c>
      <c r="O24" s="53"/>
      <c r="P24" s="106"/>
      <c r="Q24" s="53"/>
      <c r="R24" s="106"/>
      <c r="S24" s="53"/>
      <c r="T24" s="106"/>
      <c r="U24" s="107"/>
    </row>
    <row r="25" spans="1:22" ht="21" customHeight="1">
      <c r="A25" s="21" t="s">
        <v>45</v>
      </c>
      <c r="B25" s="22" t="s">
        <v>61</v>
      </c>
      <c r="C25" s="23" t="s">
        <v>45</v>
      </c>
      <c r="D25" s="28" t="s">
        <v>62</v>
      </c>
      <c r="E25" s="23" t="s">
        <v>45</v>
      </c>
      <c r="F25" s="28" t="s">
        <v>63</v>
      </c>
      <c r="G25" s="23" t="s">
        <v>45</v>
      </c>
      <c r="H25" s="22" t="s">
        <v>64</v>
      </c>
      <c r="I25" s="23" t="s">
        <v>45</v>
      </c>
      <c r="J25" s="56" t="s">
        <v>65</v>
      </c>
      <c r="K25" s="85"/>
      <c r="L25" s="27" t="s">
        <v>51</v>
      </c>
      <c r="M25" s="26" t="s">
        <v>66</v>
      </c>
      <c r="N25" s="23" t="s">
        <v>51</v>
      </c>
      <c r="O25" s="22" t="s">
        <v>67</v>
      </c>
      <c r="P25" s="23" t="s">
        <v>51</v>
      </c>
      <c r="Q25" s="22" t="s">
        <v>68</v>
      </c>
      <c r="R25" s="23" t="s">
        <v>51</v>
      </c>
      <c r="S25" s="22" t="s">
        <v>69</v>
      </c>
      <c r="T25" s="23" t="s">
        <v>51</v>
      </c>
      <c r="U25" s="95" t="s">
        <v>70</v>
      </c>
    </row>
    <row r="26" spans="1:22" ht="21" customHeight="1">
      <c r="A26" s="30" t="str">
        <f>IF(ISNA(VLOOKUP("*"&amp;B25&amp;"*",Sheet1!$A$1:$F$93,5,FALSE)),"",IF(VLOOKUP("*"&amp;B25&amp;"*",Sheet1!$A$1:$F$93,5,FALSE)="",MID(VLOOKUP("*"&amp;B25&amp;"*",Sheet1!$A$1:$F$93,4,FALSE),5,8)&amp;VLOOKUP("*"&amp;B25&amp;"*",Sheet1!$A$1:$F$93,6,FALSE),VLOOKUP("*"&amp;B25&amp;"*",Sheet1!$A$1:$F$93,5,FALSE)&amp;VLOOKUP("*"&amp;B25&amp;"*",Sheet1!$A$1:$F$93,6,FALSE)))</f>
        <v/>
      </c>
      <c r="B26" s="31"/>
      <c r="C26" s="30" t="str">
        <f>IF(ISNA(VLOOKUP("*"&amp;D25&amp;"*",Sheet1!$A$1:$F$93,5,FALSE)),"",IF(VLOOKUP("*"&amp;D25&amp;"*",Sheet1!$A$1:$F$93,5,FALSE)="",MID(VLOOKUP("*"&amp;D25&amp;"*",Sheet1!$A$1:$F$93,4,FALSE),5,8)&amp;VLOOKUP("*"&amp;D25&amp;"*",Sheet1!$A$1:$F$93,6,FALSE),VLOOKUP("*"&amp;D25&amp;"*",Sheet1!$A$1:$F$93,5,FALSE)&amp;VLOOKUP("*"&amp;D25&amp;"*",Sheet1!$A$1:$F$93,6,FALSE)))</f>
        <v/>
      </c>
      <c r="D26" s="31"/>
      <c r="E26" s="30" t="str">
        <f>IF(ISNA(VLOOKUP("*"&amp;F25&amp;"*",Sheet1!$A$1:$F$93,5,FALSE)),"",IF(VLOOKUP("*"&amp;F25&amp;"*",Sheet1!$A$1:$F$93,5,FALSE)="",MID(VLOOKUP("*"&amp;F25&amp;"*",Sheet1!$A$1:$F$93,4,FALSE),5,8)&amp;VLOOKUP("*"&amp;F25&amp;"*",Sheet1!$A$1:$F$93,6,FALSE),VLOOKUP("*"&amp;F25&amp;"*",Sheet1!$A$1:$F$93,5,FALSE)&amp;VLOOKUP("*"&amp;F25&amp;"*",Sheet1!$A$1:$F$93,6,FALSE)))</f>
        <v/>
      </c>
      <c r="F26" s="31"/>
      <c r="G26" s="30" t="str">
        <f>IF(ISNA(VLOOKUP("*"&amp;H25&amp;"*",Sheet1!$A$1:$F$93,5,FALSE)),"",IF(VLOOKUP("*"&amp;H25&amp;"*",Sheet1!$A$1:$F$93,5,FALSE)="",MID(VLOOKUP("*"&amp;H25&amp;"*",Sheet1!$A$1:$F$93,4,FALSE),5,8)&amp;VLOOKUP("*"&amp;H25&amp;"*",Sheet1!$A$1:$F$93,6,FALSE),VLOOKUP("*"&amp;H25&amp;"*",Sheet1!$A$1:$F$93,5,FALSE)&amp;VLOOKUP("*"&amp;H25&amp;"*",Sheet1!$A$1:$F$93,6,FALSE)))</f>
        <v/>
      </c>
      <c r="H26" s="31"/>
      <c r="I26" s="30" t="str">
        <f>IF(ISNA(VLOOKUP("*"&amp;J25&amp;"*",Sheet1!$A$1:$F$93,5,FALSE)),"",IF(VLOOKUP("*"&amp;J25&amp;"*",Sheet1!$A$1:$F$93,5,FALSE)="",MID(VLOOKUP("*"&amp;J25&amp;"*",Sheet1!$A$1:$F$93,4,FALSE),5,8)&amp;VLOOKUP("*"&amp;J25&amp;"*",Sheet1!$A$1:$F$93,6,FALSE),VLOOKUP("*"&amp;J25&amp;"*",Sheet1!$A$1:$F$93,5,FALSE)&amp;VLOOKUP("*"&amp;J25&amp;"*",Sheet1!$A$1:$F$93,6,FALSE)))</f>
        <v/>
      </c>
      <c r="J26" s="31"/>
      <c r="K26" s="96"/>
      <c r="L26" s="30" t="str">
        <f>IF(ISNA(VLOOKUP("*"&amp;M25&amp;"*",Sheet1!$A$1:$F$93,5,FALSE)),"",IF(VLOOKUP("*"&amp;M25&amp;"*",Sheet1!$A$1:$F$93,5,FALSE)="",MID(VLOOKUP("*"&amp;M25&amp;"*",Sheet1!$A$1:$F$93,4,FALSE),5,8)&amp;VLOOKUP("*"&amp;M25&amp;"*",Sheet1!$A$1:$F$93,6,FALSE),VLOOKUP("*"&amp;M25&amp;"*",Sheet1!$A$1:$F$93,5,FALSE)&amp;VLOOKUP("*"&amp;M25&amp;"*",Sheet1!$A$1:$F$93,6,FALSE)))</f>
        <v/>
      </c>
      <c r="M26" s="31"/>
      <c r="N26" s="30" t="str">
        <f>IF(ISNA(VLOOKUP("*"&amp;O25&amp;"*",Sheet1!$A$1:$F$93,5,FALSE)),"",IF(VLOOKUP("*"&amp;O25&amp;"*",Sheet1!$A$1:$F$93,5,FALSE)="",MID(VLOOKUP("*"&amp;O25&amp;"*",Sheet1!$A$1:$F$93,4,FALSE),5,8)&amp;VLOOKUP("*"&amp;O25&amp;"*",Sheet1!$A$1:$F$93,6,FALSE),VLOOKUP("*"&amp;O25&amp;"*",Sheet1!$A$1:$F$93,5,FALSE)&amp;VLOOKUP("*"&amp;O25&amp;"*",Sheet1!$A$1:$F$93,6,FALSE)))</f>
        <v/>
      </c>
      <c r="O26" s="31"/>
      <c r="P26" s="30" t="str">
        <f>IF(ISNA(VLOOKUP("*"&amp;Q25&amp;"*",Sheet1!$A$1:$F$93,5,FALSE)),"",IF(VLOOKUP("*"&amp;Q25&amp;"*",Sheet1!$A$1:$F$93,5,FALSE)="",MID(VLOOKUP("*"&amp;Q25&amp;"*",Sheet1!$A$1:$F$93,4,FALSE),5,8)&amp;VLOOKUP("*"&amp;Q25&amp;"*",Sheet1!$A$1:$F$93,6,FALSE),VLOOKUP("*"&amp;Q25&amp;"*",Sheet1!$A$1:$F$93,5,FALSE)&amp;VLOOKUP("*"&amp;Q25&amp;"*",Sheet1!$A$1:$F$93,6,FALSE)))</f>
        <v/>
      </c>
      <c r="Q26" s="31"/>
      <c r="R26" s="30" t="str">
        <f>IF(ISNA(VLOOKUP("*"&amp;S25&amp;"*",Sheet1!$A$1:$F$93,5,FALSE)),"",IF(VLOOKUP("*"&amp;S25&amp;"*",Sheet1!$A$1:$F$93,5,FALSE)="",MID(VLOOKUP("*"&amp;S25&amp;"*",Sheet1!$A$1:$F$93,4,FALSE),5,8)&amp;VLOOKUP("*"&amp;S25&amp;"*",Sheet1!$A$1:$F$93,6,FALSE),VLOOKUP("*"&amp;S25&amp;"*",Sheet1!$A$1:$F$93,5,FALSE)&amp;VLOOKUP("*"&amp;S25&amp;"*",Sheet1!$A$1:$F$93,6,FALSE)))</f>
        <v/>
      </c>
      <c r="S26" s="31"/>
      <c r="T26" s="30" t="str">
        <f>IF(ISNA(VLOOKUP("*"&amp;U25&amp;"*",Sheet1!$A$1:$F$93,5,FALSE)),"",IF(VLOOKUP("*"&amp;U25&amp;"*",Sheet1!$A$1:$F$93,5,FALSE)="",MID(VLOOKUP("*"&amp;U25&amp;"*",Sheet1!$A$1:$F$93,4,FALSE),5,8)&amp;VLOOKUP("*"&amp;U25&amp;"*",Sheet1!$A$1:$F$93,6,FALSE),VLOOKUP("*"&amp;U25&amp;"*",Sheet1!$A$1:$F$93,5,FALSE)&amp;VLOOKUP("*"&amp;U25&amp;"*",Sheet1!$A$1:$F$93,6,FALSE)))</f>
        <v/>
      </c>
      <c r="U26" s="31"/>
    </row>
    <row r="27" spans="1:22" ht="21" customHeight="1" thickBot="1">
      <c r="A27" s="97" t="s">
        <v>57</v>
      </c>
      <c r="B27" s="33"/>
      <c r="C27" s="34" t="s">
        <v>57</v>
      </c>
      <c r="D27" s="35"/>
      <c r="E27" s="33" t="s">
        <v>57</v>
      </c>
      <c r="F27" s="35"/>
      <c r="G27" s="33" t="s">
        <v>57</v>
      </c>
      <c r="H27" s="35"/>
      <c r="I27" s="33" t="s">
        <v>57</v>
      </c>
      <c r="J27" s="36"/>
      <c r="K27" s="85"/>
      <c r="L27" s="108" t="s">
        <v>58</v>
      </c>
      <c r="M27" s="109"/>
      <c r="N27" s="33" t="s">
        <v>12</v>
      </c>
      <c r="O27" s="35"/>
      <c r="P27" s="33" t="s">
        <v>12</v>
      </c>
      <c r="Q27" s="35"/>
      <c r="R27" s="33" t="s">
        <v>12</v>
      </c>
      <c r="S27" s="35"/>
      <c r="T27" s="33" t="s">
        <v>12</v>
      </c>
      <c r="U27" s="100"/>
      <c r="V27" s="101"/>
    </row>
    <row r="28" spans="1:22" ht="21" customHeight="1" thickTop="1">
      <c r="A28" s="110"/>
      <c r="B28" s="103"/>
      <c r="C28" s="104"/>
      <c r="D28" s="105"/>
      <c r="E28" s="52"/>
      <c r="F28" s="105"/>
      <c r="G28" s="52"/>
      <c r="H28" s="111"/>
      <c r="I28" s="52" t="s">
        <v>71</v>
      </c>
      <c r="J28" s="54"/>
      <c r="K28" s="6"/>
      <c r="L28" s="110"/>
      <c r="M28" s="112"/>
      <c r="N28" s="106"/>
      <c r="O28" s="53"/>
      <c r="P28" s="106"/>
      <c r="Q28" s="53"/>
      <c r="R28" s="106"/>
      <c r="S28" s="53"/>
      <c r="T28" s="106"/>
      <c r="U28" s="107"/>
    </row>
    <row r="29" spans="1:22" ht="21" customHeight="1">
      <c r="A29" s="21" t="s">
        <v>45</v>
      </c>
      <c r="B29" s="22" t="s">
        <v>72</v>
      </c>
      <c r="C29" s="23" t="s">
        <v>45</v>
      </c>
      <c r="D29" s="22" t="s">
        <v>73</v>
      </c>
      <c r="E29" s="23" t="s">
        <v>45</v>
      </c>
      <c r="F29" s="28" t="s">
        <v>74</v>
      </c>
      <c r="G29" s="23" t="s">
        <v>45</v>
      </c>
      <c r="H29" s="22" t="s">
        <v>75</v>
      </c>
      <c r="I29" s="23" t="s">
        <v>45</v>
      </c>
      <c r="J29" s="56" t="s">
        <v>76</v>
      </c>
      <c r="K29" s="6"/>
      <c r="L29" s="21" t="s">
        <v>45</v>
      </c>
      <c r="M29" s="113" t="s">
        <v>77</v>
      </c>
      <c r="N29" s="23" t="s">
        <v>51</v>
      </c>
      <c r="O29" s="22" t="s">
        <v>78</v>
      </c>
      <c r="P29" s="23" t="s">
        <v>51</v>
      </c>
      <c r="Q29" s="22" t="s">
        <v>79</v>
      </c>
      <c r="R29" s="23" t="s">
        <v>51</v>
      </c>
      <c r="S29" s="22" t="s">
        <v>80</v>
      </c>
      <c r="T29" s="23" t="s">
        <v>51</v>
      </c>
      <c r="U29" s="95" t="s">
        <v>81</v>
      </c>
    </row>
    <row r="30" spans="1:22" ht="21" customHeight="1">
      <c r="A30" s="30" t="str">
        <f>IF(ISNA(VLOOKUP("*"&amp;B29&amp;"*",Sheet1!$A$1:$F$93,5,FALSE)),"",IF(VLOOKUP("*"&amp;B29&amp;"*",Sheet1!$A$1:$F$93,5,FALSE)="",MID(VLOOKUP("*"&amp;B29&amp;"*",Sheet1!$A$1:$F$93,4,FALSE),5,8)&amp;VLOOKUP("*"&amp;B29&amp;"*",Sheet1!$A$1:$F$93,6,FALSE),VLOOKUP("*"&amp;B29&amp;"*",Sheet1!$A$1:$F$93,5,FALSE)&amp;VLOOKUP("*"&amp;B29&amp;"*",Sheet1!$A$1:$F$93,6,FALSE)))</f>
        <v/>
      </c>
      <c r="B30" s="31"/>
      <c r="C30" s="30" t="str">
        <f>IF(ISNA(VLOOKUP("*"&amp;D29&amp;"*",Sheet1!$A$1:$F$93,5,FALSE)),"",IF(VLOOKUP("*"&amp;D29&amp;"*",Sheet1!$A$1:$F$93,5,FALSE)="",MID(VLOOKUP("*"&amp;D29&amp;"*",Sheet1!$A$1:$F$93,4,FALSE),5,8)&amp;VLOOKUP("*"&amp;D29&amp;"*",Sheet1!$A$1:$F$93,6,FALSE),VLOOKUP("*"&amp;D29&amp;"*",Sheet1!$A$1:$F$93,5,FALSE)&amp;VLOOKUP("*"&amp;D29&amp;"*",Sheet1!$A$1:$F$93,6,FALSE)))</f>
        <v/>
      </c>
      <c r="D30" s="31"/>
      <c r="E30" s="30" t="str">
        <f>IF(ISNA(VLOOKUP("*"&amp;F29&amp;"*",Sheet1!$A$1:$F$93,5,FALSE)),"",IF(VLOOKUP("*"&amp;F29&amp;"*",Sheet1!$A$1:$F$93,5,FALSE)="",MID(VLOOKUP("*"&amp;F29&amp;"*",Sheet1!$A$1:$F$93,4,FALSE),5,8)&amp;VLOOKUP("*"&amp;F29&amp;"*",Sheet1!$A$1:$F$93,6,FALSE),VLOOKUP("*"&amp;F29&amp;"*",Sheet1!$A$1:$F$93,5,FALSE)&amp;VLOOKUP("*"&amp;F29&amp;"*",Sheet1!$A$1:$F$93,6,FALSE)))</f>
        <v/>
      </c>
      <c r="F30" s="31"/>
      <c r="G30" s="30" t="str">
        <f>IF(ISNA(VLOOKUP("*"&amp;H29&amp;"*",Sheet1!$A$1:$F$93,5,FALSE)),"",IF(VLOOKUP("*"&amp;H29&amp;"*",Sheet1!$A$1:$F$93,5,FALSE)="",MID(VLOOKUP("*"&amp;H29&amp;"*",Sheet1!$A$1:$F$93,4,FALSE),5,8)&amp;VLOOKUP("*"&amp;H29&amp;"*",Sheet1!$A$1:$F$93,6,FALSE),VLOOKUP("*"&amp;H29&amp;"*",Sheet1!$A$1:$F$93,5,FALSE)&amp;VLOOKUP("*"&amp;H29&amp;"*",Sheet1!$A$1:$F$93,6,FALSE)))</f>
        <v/>
      </c>
      <c r="H30" s="31"/>
      <c r="I30" s="30" t="str">
        <f>IF(ISNA(VLOOKUP("*"&amp;J29&amp;"*",Sheet1!$A$1:$F$93,5,FALSE)),"",IF(VLOOKUP("*"&amp;J29&amp;"*",Sheet1!$A$1:$F$93,5,FALSE)="",MID(VLOOKUP("*"&amp;J29&amp;"*",Sheet1!$A$1:$F$93,4,FALSE),5,8)&amp;VLOOKUP("*"&amp;J29&amp;"*",Sheet1!$A$1:$F$93,6,FALSE),VLOOKUP("*"&amp;J29&amp;"*",Sheet1!$A$1:$F$93,5,FALSE)&amp;VLOOKUP("*"&amp;J29&amp;"*",Sheet1!$A$1:$F$93,6,FALSE)))</f>
        <v/>
      </c>
      <c r="J30" s="31"/>
      <c r="K30" s="114"/>
      <c r="L30" s="30" t="str">
        <f>IF(ISNA(VLOOKUP("*"&amp;M29&amp;"*",Sheet1!$A$1:$F$93,5,FALSE)),"",IF(VLOOKUP("*"&amp;M29&amp;"*",Sheet1!$A$1:$F$93,5,FALSE)="",MID(VLOOKUP("*"&amp;M29&amp;"*",Sheet1!$A$1:$F$93,4,FALSE),5,8)&amp;VLOOKUP("*"&amp;M29&amp;"*",Sheet1!$A$1:$F$93,6,FALSE),VLOOKUP("*"&amp;M29&amp;"*",Sheet1!$A$1:$F$93,5,FALSE)&amp;VLOOKUP("*"&amp;M29&amp;"*",Sheet1!$A$1:$F$93,6,FALSE)))</f>
        <v/>
      </c>
      <c r="M30" s="31"/>
      <c r="N30" s="30" t="str">
        <f>IF(ISNA(VLOOKUP("*"&amp;O29&amp;"*",Sheet1!$A$1:$F$93,5,FALSE)),"",IF(VLOOKUP("*"&amp;O29&amp;"*",Sheet1!$A$1:$F$93,5,FALSE)="",MID(VLOOKUP("*"&amp;O29&amp;"*",Sheet1!$A$1:$F$93,4,FALSE),5,8)&amp;VLOOKUP("*"&amp;O29&amp;"*",Sheet1!$A$1:$F$93,6,FALSE),VLOOKUP("*"&amp;O29&amp;"*",Sheet1!$A$1:$F$93,5,FALSE)&amp;VLOOKUP("*"&amp;O29&amp;"*",Sheet1!$A$1:$F$93,6,FALSE)))</f>
        <v/>
      </c>
      <c r="O30" s="31"/>
      <c r="P30" s="30" t="str">
        <f>IF(ISNA(VLOOKUP("*"&amp;Q29&amp;"*",Sheet1!$A$1:$F$93,5,FALSE)),"",IF(VLOOKUP("*"&amp;Q29&amp;"*",Sheet1!$A$1:$F$93,5,FALSE)="",MID(VLOOKUP("*"&amp;Q29&amp;"*",Sheet1!$A$1:$F$93,4,FALSE),5,8)&amp;VLOOKUP("*"&amp;Q29&amp;"*",Sheet1!$A$1:$F$93,6,FALSE),VLOOKUP("*"&amp;Q29&amp;"*",Sheet1!$A$1:$F$93,5,FALSE)&amp;VLOOKUP("*"&amp;Q29&amp;"*",Sheet1!$A$1:$F$93,6,FALSE)))</f>
        <v/>
      </c>
      <c r="Q30" s="31"/>
      <c r="R30" s="30" t="str">
        <f>IF(ISNA(VLOOKUP("*"&amp;S29&amp;"*",Sheet1!$A$1:$F$93,5,FALSE)),"",IF(VLOOKUP("*"&amp;S29&amp;"*",Sheet1!$A$1:$F$93,5,FALSE)="",MID(VLOOKUP("*"&amp;S29&amp;"*",Sheet1!$A$1:$F$93,4,FALSE),5,8)&amp;VLOOKUP("*"&amp;S29&amp;"*",Sheet1!$A$1:$F$93,6,FALSE),VLOOKUP("*"&amp;S29&amp;"*",Sheet1!$A$1:$F$93,5,FALSE)&amp;VLOOKUP("*"&amp;S29&amp;"*",Sheet1!$A$1:$F$93,6,FALSE)))</f>
        <v/>
      </c>
      <c r="S30" s="31"/>
      <c r="T30" s="30" t="str">
        <f>IF(ISNA(VLOOKUP("*"&amp;U29&amp;"*",Sheet1!$A$1:$F$93,5,FALSE)),"",IF(VLOOKUP("*"&amp;U29&amp;"*",Sheet1!$A$1:$F$93,5,FALSE)="",MID(VLOOKUP("*"&amp;U29&amp;"*",Sheet1!$A$1:$F$93,4,FALSE),5,8)&amp;VLOOKUP("*"&amp;U29&amp;"*",Sheet1!$A$1:$F$93,6,FALSE),VLOOKUP("*"&amp;U29&amp;"*",Sheet1!$A$1:$F$93,5,FALSE)&amp;VLOOKUP("*"&amp;U29&amp;"*",Sheet1!$A$1:$F$93,6,FALSE)))</f>
        <v/>
      </c>
      <c r="U30" s="31"/>
    </row>
    <row r="31" spans="1:22" ht="21" customHeight="1" thickBot="1">
      <c r="A31" s="115" t="s">
        <v>57</v>
      </c>
      <c r="B31" s="73"/>
      <c r="C31" s="74" t="s">
        <v>57</v>
      </c>
      <c r="D31" s="75"/>
      <c r="E31" s="73" t="s">
        <v>57</v>
      </c>
      <c r="F31" s="75"/>
      <c r="G31" s="73" t="s">
        <v>57</v>
      </c>
      <c r="H31" s="75"/>
      <c r="I31" s="73" t="s">
        <v>57</v>
      </c>
      <c r="J31" s="76"/>
      <c r="K31" s="6"/>
      <c r="L31" s="115" t="s">
        <v>57</v>
      </c>
      <c r="M31" s="116"/>
      <c r="N31" s="117" t="s">
        <v>12</v>
      </c>
      <c r="O31" s="118"/>
      <c r="P31" s="117" t="s">
        <v>12</v>
      </c>
      <c r="Q31" s="118"/>
      <c r="R31" s="117" t="s">
        <v>12</v>
      </c>
      <c r="S31" s="118"/>
      <c r="T31" s="119" t="s">
        <v>12</v>
      </c>
      <c r="U31" s="120"/>
      <c r="V31" s="101"/>
    </row>
    <row r="32" spans="1:22" ht="15.75" thickTop="1">
      <c r="A32" s="121" t="s">
        <v>82</v>
      </c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</row>
  </sheetData>
  <sheetProtection selectLockedCells="1"/>
  <mergeCells count="218">
    <mergeCell ref="A1:U1"/>
    <mergeCell ref="C2:F2"/>
    <mergeCell ref="R2:U2"/>
    <mergeCell ref="A3:B3"/>
    <mergeCell ref="C3:D3"/>
    <mergeCell ref="E3:F3"/>
    <mergeCell ref="G3:H3"/>
    <mergeCell ref="I3:J3"/>
    <mergeCell ref="L3:M3"/>
    <mergeCell ref="N3:O3"/>
    <mergeCell ref="P3:Q3"/>
    <mergeCell ref="R3:S3"/>
    <mergeCell ref="T3:U3"/>
    <mergeCell ref="T5:U5"/>
    <mergeCell ref="A6:B6"/>
    <mergeCell ref="C6:D6"/>
    <mergeCell ref="E6:F6"/>
    <mergeCell ref="G6:H6"/>
    <mergeCell ref="I6:J6"/>
    <mergeCell ref="L6:M6"/>
    <mergeCell ref="N6:O6"/>
    <mergeCell ref="P6:Q6"/>
    <mergeCell ref="R6:S6"/>
    <mergeCell ref="T6:U6"/>
    <mergeCell ref="C5:D5"/>
    <mergeCell ref="E5:F5"/>
    <mergeCell ref="G5:H5"/>
    <mergeCell ref="I5:J5"/>
    <mergeCell ref="L5:M5"/>
    <mergeCell ref="N5:O5"/>
    <mergeCell ref="P5:Q5"/>
    <mergeCell ref="R5:S5"/>
    <mergeCell ref="A5:B5"/>
    <mergeCell ref="T7:U7"/>
    <mergeCell ref="A9:B9"/>
    <mergeCell ref="C9:D9"/>
    <mergeCell ref="E9:F9"/>
    <mergeCell ref="G9:H9"/>
    <mergeCell ref="I9:J9"/>
    <mergeCell ref="L9:M9"/>
    <mergeCell ref="N9:O9"/>
    <mergeCell ref="P9:Q9"/>
    <mergeCell ref="R9:S9"/>
    <mergeCell ref="T9:U9"/>
    <mergeCell ref="A7:B7"/>
    <mergeCell ref="C7:D7"/>
    <mergeCell ref="E7:F7"/>
    <mergeCell ref="G7:H7"/>
    <mergeCell ref="I7:J7"/>
    <mergeCell ref="L7:M7"/>
    <mergeCell ref="N7:O7"/>
    <mergeCell ref="P7:Q7"/>
    <mergeCell ref="R7:S7"/>
    <mergeCell ref="T10:U10"/>
    <mergeCell ref="A11:B11"/>
    <mergeCell ref="C11:D11"/>
    <mergeCell ref="E11:F11"/>
    <mergeCell ref="G11:H11"/>
    <mergeCell ref="I11:J11"/>
    <mergeCell ref="L11:M11"/>
    <mergeCell ref="N11:O11"/>
    <mergeCell ref="P11:Q11"/>
    <mergeCell ref="R11:S11"/>
    <mergeCell ref="T11:U11"/>
    <mergeCell ref="A10:B10"/>
    <mergeCell ref="C10:D10"/>
    <mergeCell ref="E10:F10"/>
    <mergeCell ref="G10:H10"/>
    <mergeCell ref="I10:J10"/>
    <mergeCell ref="L10:M10"/>
    <mergeCell ref="N10:O10"/>
    <mergeCell ref="P10:Q10"/>
    <mergeCell ref="R10:S10"/>
    <mergeCell ref="T13:U13"/>
    <mergeCell ref="A14:B14"/>
    <mergeCell ref="C14:D14"/>
    <mergeCell ref="E14:F14"/>
    <mergeCell ref="G14:H14"/>
    <mergeCell ref="I14:J14"/>
    <mergeCell ref="L14:M14"/>
    <mergeCell ref="N14:O14"/>
    <mergeCell ref="T15:U15"/>
    <mergeCell ref="T14:U14"/>
    <mergeCell ref="A13:B13"/>
    <mergeCell ref="C13:D13"/>
    <mergeCell ref="E13:F13"/>
    <mergeCell ref="G13:H13"/>
    <mergeCell ref="I13:J13"/>
    <mergeCell ref="L13:M13"/>
    <mergeCell ref="N13:O13"/>
    <mergeCell ref="P13:Q13"/>
    <mergeCell ref="R13:S13"/>
    <mergeCell ref="P14:Q14"/>
    <mergeCell ref="R14:S14"/>
    <mergeCell ref="A15:B15"/>
    <mergeCell ref="C15:D15"/>
    <mergeCell ref="E15:F15"/>
    <mergeCell ref="G15:H15"/>
    <mergeCell ref="I15:J15"/>
    <mergeCell ref="L15:M15"/>
    <mergeCell ref="N15:O15"/>
    <mergeCell ref="P15:Q15"/>
    <mergeCell ref="R15:S15"/>
    <mergeCell ref="P18:Q18"/>
    <mergeCell ref="R18:S18"/>
    <mergeCell ref="A17:B17"/>
    <mergeCell ref="C17:D17"/>
    <mergeCell ref="E17:F17"/>
    <mergeCell ref="G17:H17"/>
    <mergeCell ref="I17:J17"/>
    <mergeCell ref="L17:M17"/>
    <mergeCell ref="N17:O17"/>
    <mergeCell ref="P17:Q17"/>
    <mergeCell ref="R17:S17"/>
    <mergeCell ref="T17:U17"/>
    <mergeCell ref="N20:O20"/>
    <mergeCell ref="P20:Q20"/>
    <mergeCell ref="R20:S20"/>
    <mergeCell ref="T20:U20"/>
    <mergeCell ref="A18:B18"/>
    <mergeCell ref="C18:D18"/>
    <mergeCell ref="E18:F18"/>
    <mergeCell ref="G18:H18"/>
    <mergeCell ref="I18:J18"/>
    <mergeCell ref="L18:M18"/>
    <mergeCell ref="N18:O18"/>
    <mergeCell ref="A20:B20"/>
    <mergeCell ref="C20:D20"/>
    <mergeCell ref="E20:F20"/>
    <mergeCell ref="G20:H20"/>
    <mergeCell ref="I20:J20"/>
    <mergeCell ref="L20:M20"/>
    <mergeCell ref="T18:U18"/>
    <mergeCell ref="C19:D19"/>
    <mergeCell ref="E19:F19"/>
    <mergeCell ref="G19:H19"/>
    <mergeCell ref="I19:J19"/>
    <mergeCell ref="E24:F24"/>
    <mergeCell ref="G24:H24"/>
    <mergeCell ref="I24:J24"/>
    <mergeCell ref="L24:M24"/>
    <mergeCell ref="N24:O24"/>
    <mergeCell ref="P24:Q24"/>
    <mergeCell ref="R24:S24"/>
    <mergeCell ref="A23:B23"/>
    <mergeCell ref="C23:D23"/>
    <mergeCell ref="E23:F23"/>
    <mergeCell ref="G23:H23"/>
    <mergeCell ref="I23:J23"/>
    <mergeCell ref="L23:M23"/>
    <mergeCell ref="N23:O23"/>
    <mergeCell ref="P23:Q23"/>
    <mergeCell ref="R23:S23"/>
    <mergeCell ref="T27:U27"/>
    <mergeCell ref="A28:B28"/>
    <mergeCell ref="C28:D28"/>
    <mergeCell ref="E28:F28"/>
    <mergeCell ref="G28:H28"/>
    <mergeCell ref="I28:J28"/>
    <mergeCell ref="L28:M28"/>
    <mergeCell ref="N28:O28"/>
    <mergeCell ref="P28:Q28"/>
    <mergeCell ref="R28:S28"/>
    <mergeCell ref="T28:U28"/>
    <mergeCell ref="A27:B27"/>
    <mergeCell ref="C27:D27"/>
    <mergeCell ref="E27:F27"/>
    <mergeCell ref="G27:H27"/>
    <mergeCell ref="I27:J27"/>
    <mergeCell ref="L27:M27"/>
    <mergeCell ref="N27:O27"/>
    <mergeCell ref="P27:Q27"/>
    <mergeCell ref="R27:S27"/>
    <mergeCell ref="T31:U31"/>
    <mergeCell ref="A32:U32"/>
    <mergeCell ref="A31:B31"/>
    <mergeCell ref="C31:D31"/>
    <mergeCell ref="E31:F31"/>
    <mergeCell ref="G31:H31"/>
    <mergeCell ref="I31:J31"/>
    <mergeCell ref="L31:M31"/>
    <mergeCell ref="N31:O31"/>
    <mergeCell ref="P31:Q31"/>
    <mergeCell ref="R31:S31"/>
    <mergeCell ref="R22:S22"/>
    <mergeCell ref="T22:U22"/>
    <mergeCell ref="A26:B26"/>
    <mergeCell ref="C26:D26"/>
    <mergeCell ref="E26:F26"/>
    <mergeCell ref="G26:H26"/>
    <mergeCell ref="I26:J26"/>
    <mergeCell ref="L26:M26"/>
    <mergeCell ref="N26:O26"/>
    <mergeCell ref="P26:Q26"/>
    <mergeCell ref="R26:S26"/>
    <mergeCell ref="T26:U26"/>
    <mergeCell ref="A22:B22"/>
    <mergeCell ref="C22:D22"/>
    <mergeCell ref="E22:F22"/>
    <mergeCell ref="G22:H22"/>
    <mergeCell ref="I22:J22"/>
    <mergeCell ref="L22:M22"/>
    <mergeCell ref="N22:O22"/>
    <mergeCell ref="P22:Q22"/>
    <mergeCell ref="T23:U23"/>
    <mergeCell ref="T24:U24"/>
    <mergeCell ref="A24:B24"/>
    <mergeCell ref="C24:D24"/>
    <mergeCell ref="R30:S30"/>
    <mergeCell ref="T30:U30"/>
    <mergeCell ref="A30:B30"/>
    <mergeCell ref="C30:D30"/>
    <mergeCell ref="E30:F30"/>
    <mergeCell ref="G30:H30"/>
    <mergeCell ref="I30:J30"/>
    <mergeCell ref="L30:M30"/>
    <mergeCell ref="N30:O30"/>
    <mergeCell ref="P30:Q30"/>
  </mergeCells>
  <printOptions horizontalCentered="1" verticalCentered="1"/>
  <pageMargins left="0.7" right="0.7" top="0.75" bottom="0.75" header="0.3" footer="0.3"/>
  <pageSetup paperSize="9" scale="7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Blanks" priority="186" id="{B2C6507E-B274-41A5-9EDE-D5510FCE55D4}">
            <xm:f>LEN(TRIM('D:\CÂN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K26 K30 K22 K13</xm:sqref>
        </x14:conditionalFormatting>
        <x14:conditionalFormatting xmlns:xm="http://schemas.microsoft.com/office/excel/2006/main">
          <x14:cfRule type="notContainsBlanks" priority="185" id="{9475BB02-C15E-4293-A75D-142E9B741E08}">
            <xm:f>LEN(TRIM('D:\CÂN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A5</xm:sqref>
        </x14:conditionalFormatting>
        <x14:conditionalFormatting xmlns:xm="http://schemas.microsoft.com/office/excel/2006/main">
          <x14:cfRule type="notContainsBlanks" priority="182" id="{5CE7D115-E1B1-4EA6-9EEF-3B9351F9D8E0}">
            <xm:f>LEN(TRIM('D:\CÂN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C11:J11</xm:sqref>
        </x14:conditionalFormatting>
        <x14:conditionalFormatting xmlns:xm="http://schemas.microsoft.com/office/excel/2006/main">
          <x14:cfRule type="notContainsBlanks" priority="181" id="{DF6D5005-B779-400E-B116-D43821310745}">
            <xm:f>LEN(TRIM('D:\CÂN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A11:B11</xm:sqref>
        </x14:conditionalFormatting>
        <x14:conditionalFormatting xmlns:xm="http://schemas.microsoft.com/office/excel/2006/main">
          <x14:cfRule type="notContainsBlanks" priority="14" id="{F76BF494-CA94-450A-B7A7-C070214E9C0A}">
            <xm:f>LEN(TRIM('D:\CÂN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C5 E5 G5 I5</xm:sqref>
        </x14:conditionalFormatting>
        <x14:conditionalFormatting xmlns:xm="http://schemas.microsoft.com/office/excel/2006/main">
          <x14:cfRule type="notContainsBlanks" priority="13" id="{DCA571F1-24BB-493A-A2C0-5CED09D84EB5}">
            <xm:f>LEN(TRIM('D:\CÂN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L5 N5 P5 R5 T5</xm:sqref>
        </x14:conditionalFormatting>
        <x14:conditionalFormatting xmlns:xm="http://schemas.microsoft.com/office/excel/2006/main">
          <x14:cfRule type="notContainsBlanks" priority="12" id="{9A69D060-6A00-4B2F-AAA2-A222A21D55BE}">
            <xm:f>LEN(TRIM('D:\CÂN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A9 C9 E9 G9 I9</xm:sqref>
        </x14:conditionalFormatting>
        <x14:conditionalFormatting xmlns:xm="http://schemas.microsoft.com/office/excel/2006/main">
          <x14:cfRule type="notContainsBlanks" priority="11" id="{FEB5A252-FEAC-4943-8022-A9410190E512}">
            <xm:f>LEN(TRIM('D:\CÂN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L9 N9 P9 R9 T9</xm:sqref>
        </x14:conditionalFormatting>
        <x14:conditionalFormatting xmlns:xm="http://schemas.microsoft.com/office/excel/2006/main">
          <x14:cfRule type="notContainsBlanks" priority="10" id="{7BD052A8-2E8F-4135-B93F-28A793D90832}">
            <xm:f>LEN(TRIM('D:\CÂN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A13 C13 E13 G13 I13</xm:sqref>
        </x14:conditionalFormatting>
        <x14:conditionalFormatting xmlns:xm="http://schemas.microsoft.com/office/excel/2006/main">
          <x14:cfRule type="notContainsBlanks" priority="9" id="{FD73B9B4-8461-4821-9688-7A486E1B6119}">
            <xm:f>LEN(TRIM('D:\CÂN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L13 N13 P13 R13 T13</xm:sqref>
        </x14:conditionalFormatting>
        <x14:conditionalFormatting xmlns:xm="http://schemas.microsoft.com/office/excel/2006/main">
          <x14:cfRule type="notContainsBlanks" priority="8" id="{0FCDC8E8-C315-4C50-BB4D-7A63503C1FD0}">
            <xm:f>LEN(TRIM('D:\CÂN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A17 C17 E17 G17 I17</xm:sqref>
        </x14:conditionalFormatting>
        <x14:conditionalFormatting xmlns:xm="http://schemas.microsoft.com/office/excel/2006/main">
          <x14:cfRule type="notContainsBlanks" priority="7" id="{3E64C292-5E0D-45FB-9EA2-157786F887D3}">
            <xm:f>LEN(TRIM('D:\CÂN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L17 N17 P17 R17 T17</xm:sqref>
        </x14:conditionalFormatting>
        <x14:conditionalFormatting xmlns:xm="http://schemas.microsoft.com/office/excel/2006/main">
          <x14:cfRule type="notContainsBlanks" priority="6" id="{124D8E1B-E378-4112-8E10-BB1EA58807E6}">
            <xm:f>LEN(TRIM('D:\CÂN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A22 C22 E22 G22 I22</xm:sqref>
        </x14:conditionalFormatting>
        <x14:conditionalFormatting xmlns:xm="http://schemas.microsoft.com/office/excel/2006/main">
          <x14:cfRule type="notContainsBlanks" priority="5" id="{8AA35B02-7A73-4829-9E60-21149563CFAA}">
            <xm:f>LEN(TRIM('D:\CÂN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A26 C26 E26 G26 I26</xm:sqref>
        </x14:conditionalFormatting>
        <x14:conditionalFormatting xmlns:xm="http://schemas.microsoft.com/office/excel/2006/main">
          <x14:cfRule type="notContainsBlanks" priority="4" id="{227301D6-3AC8-4802-A621-B9F24DA55A84}">
            <xm:f>LEN(TRIM('D:\CÂN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A30 C30 E30 G30 I30</xm:sqref>
        </x14:conditionalFormatting>
        <x14:conditionalFormatting xmlns:xm="http://schemas.microsoft.com/office/excel/2006/main">
          <x14:cfRule type="notContainsBlanks" priority="3" id="{790027A5-E61D-402E-B2C4-D922DDC0E535}">
            <xm:f>LEN(TRIM('D:\CÂN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L22 N22 P22 R22 T22</xm:sqref>
        </x14:conditionalFormatting>
        <x14:conditionalFormatting xmlns:xm="http://schemas.microsoft.com/office/excel/2006/main">
          <x14:cfRule type="notContainsBlanks" priority="2" id="{29B04257-7F03-40CE-8A3F-07AC79A2A901}">
            <xm:f>LEN(TRIM('D:\CÂN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L26 N26 P26 R26 T26</xm:sqref>
        </x14:conditionalFormatting>
        <x14:conditionalFormatting xmlns:xm="http://schemas.microsoft.com/office/excel/2006/main">
          <x14:cfRule type="notContainsBlanks" priority="1" id="{7E8B2DD2-84A5-4F36-8BE0-738B2679AB9B}">
            <xm:f>LEN(TRIM('D:\CÂN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L30 N30 P30 R30 T30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C車間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 Linh Phan</dc:creator>
  <cp:lastModifiedBy>LIU YANG</cp:lastModifiedBy>
  <cp:lastPrinted>2024-08-30T01:31:34Z</cp:lastPrinted>
  <dcterms:created xsi:type="dcterms:W3CDTF">2024-08-30T01:22:37Z</dcterms:created>
  <dcterms:modified xsi:type="dcterms:W3CDTF">2024-08-31T06:47:15Z</dcterms:modified>
</cp:coreProperties>
</file>