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2000790\Desktop\机位表\"/>
    </mc:Choice>
  </mc:AlternateContent>
  <bookViews>
    <workbookView xWindow="0" yWindow="0" windowWidth="28800" windowHeight="11730"/>
  </bookViews>
  <sheets>
    <sheet name="E车间" sheetId="4" r:id="rId1"/>
    <sheet name="Sheet1" sheetId="5" r:id="rId2"/>
  </sheets>
  <definedNames>
    <definedName name="_xlnm.Print_Area" localSheetId="0">E车间!$A$1:$U$32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4" l="1"/>
  <c r="R30" i="4"/>
  <c r="P30" i="4"/>
  <c r="N30" i="4"/>
  <c r="L30" i="4"/>
  <c r="I30" i="4"/>
  <c r="G30" i="4"/>
  <c r="E30" i="4"/>
  <c r="C30" i="4"/>
  <c r="A30" i="4"/>
  <c r="T26" i="4"/>
  <c r="R26" i="4"/>
  <c r="P26" i="4"/>
  <c r="N26" i="4"/>
  <c r="L26" i="4"/>
  <c r="I26" i="4"/>
  <c r="G26" i="4"/>
  <c r="E26" i="4"/>
  <c r="C26" i="4"/>
  <c r="A26" i="4"/>
  <c r="T22" i="4"/>
  <c r="R22" i="4"/>
  <c r="P22" i="4"/>
  <c r="N22" i="4"/>
  <c r="L22" i="4"/>
  <c r="I22" i="4"/>
  <c r="G22" i="4"/>
  <c r="E22" i="4"/>
  <c r="C22" i="4"/>
  <c r="A22" i="4"/>
  <c r="T17" i="4"/>
  <c r="R17" i="4"/>
  <c r="P17" i="4"/>
  <c r="N17" i="4"/>
  <c r="L17" i="4"/>
  <c r="I17" i="4"/>
  <c r="G17" i="4"/>
  <c r="E17" i="4"/>
  <c r="C17" i="4"/>
  <c r="A17" i="4"/>
  <c r="T13" i="4"/>
  <c r="R13" i="4"/>
  <c r="P13" i="4"/>
  <c r="N13" i="4"/>
  <c r="L13" i="4"/>
  <c r="I13" i="4"/>
  <c r="G13" i="4"/>
  <c r="E13" i="4"/>
  <c r="C13" i="4"/>
  <c r="A13" i="4"/>
  <c r="T9" i="4"/>
  <c r="R9" i="4"/>
  <c r="P9" i="4"/>
  <c r="N9" i="4"/>
  <c r="L9" i="4"/>
  <c r="I9" i="4"/>
  <c r="G9" i="4"/>
  <c r="E9" i="4"/>
  <c r="C9" i="4"/>
  <c r="A9" i="4"/>
  <c r="T5" i="4"/>
  <c r="R5" i="4"/>
  <c r="P5" i="4"/>
  <c r="N5" i="4"/>
  <c r="L5" i="4"/>
  <c r="I5" i="4"/>
  <c r="G5" i="4"/>
  <c r="E5" i="4"/>
  <c r="C5" i="4"/>
  <c r="A5" i="4"/>
  <c r="R2" i="4" l="1"/>
</calcChain>
</file>

<file path=xl/sharedStrings.xml><?xml version="1.0" encoding="utf-8"?>
<sst xmlns="http://schemas.openxmlformats.org/spreadsheetml/2006/main" count="198" uniqueCount="99">
  <si>
    <t>H120</t>
  </si>
  <si>
    <t>28G34(2976)</t>
  </si>
  <si>
    <t>靠公司大门方向</t>
  </si>
  <si>
    <r>
      <rPr>
        <b/>
        <sz val="24"/>
        <rFont val="微軟正黑體"/>
        <charset val="134"/>
      </rPr>
      <t>TOPT織廠</t>
    </r>
    <r>
      <rPr>
        <b/>
        <sz val="24"/>
        <rFont val="等线"/>
        <charset val="134"/>
      </rPr>
      <t>E</t>
    </r>
    <r>
      <rPr>
        <b/>
        <sz val="24"/>
        <rFont val="微軟正黑體"/>
        <charset val="134"/>
      </rPr>
      <t>車間排機分布圖</t>
    </r>
  </si>
  <si>
    <t xml:space="preserve"> </t>
  </si>
  <si>
    <t>BZN02331A07</t>
  </si>
  <si>
    <t>BZN02320A08</t>
  </si>
  <si>
    <t>BZN02331A08</t>
  </si>
  <si>
    <t>BZN02320A05</t>
  </si>
  <si>
    <t>无单</t>
  </si>
  <si>
    <t xml:space="preserve">Không có đơn </t>
  </si>
  <si>
    <t>转单</t>
  </si>
  <si>
    <t xml:space="preserve">chuyển đơn </t>
  </si>
  <si>
    <t>改转向</t>
  </si>
  <si>
    <t xml:space="preserve">đổi chiều </t>
  </si>
  <si>
    <t>洗机</t>
  </si>
  <si>
    <t xml:space="preserve">rửa máy </t>
  </si>
  <si>
    <t>转筒</t>
  </si>
  <si>
    <t xml:space="preserve">chuyển mâm </t>
  </si>
  <si>
    <t>开布头</t>
  </si>
  <si>
    <t xml:space="preserve">Xuống đầu vải </t>
  </si>
  <si>
    <t>改纱长</t>
  </si>
  <si>
    <t xml:space="preserve">đổi dộ dài sợi </t>
  </si>
  <si>
    <t>较布面</t>
  </si>
  <si>
    <t xml:space="preserve">xuống mặt vải </t>
  </si>
  <si>
    <t>修机</t>
  </si>
  <si>
    <t xml:space="preserve">sửa máy </t>
  </si>
  <si>
    <t>起大牙</t>
  </si>
  <si>
    <t xml:space="preserve">bánh răng </t>
  </si>
  <si>
    <t>ZN02320A05</t>
  </si>
  <si>
    <t>EAC2</t>
  </si>
  <si>
    <t>EAD2</t>
  </si>
  <si>
    <t>EAE2</t>
  </si>
  <si>
    <t>EAF2</t>
  </si>
  <si>
    <t>EAG2</t>
  </si>
  <si>
    <t>EAH2</t>
  </si>
  <si>
    <t>EAI2</t>
  </si>
  <si>
    <t>EAJ2</t>
  </si>
  <si>
    <t>EAK2</t>
  </si>
  <si>
    <t>EAL2</t>
  </si>
  <si>
    <t>EAC3</t>
  </si>
  <si>
    <t>EAD3</t>
  </si>
  <si>
    <t>EAE3</t>
  </si>
  <si>
    <t>EAF3</t>
  </si>
  <si>
    <t>EAG3</t>
  </si>
  <si>
    <t>EAH3</t>
  </si>
  <si>
    <t>EAI3</t>
  </si>
  <si>
    <t>EAK3</t>
  </si>
  <si>
    <t>EAL3</t>
  </si>
  <si>
    <t>EAC4</t>
  </si>
  <si>
    <t>EAD4</t>
  </si>
  <si>
    <t>EAE4</t>
  </si>
  <si>
    <t>EAF4</t>
  </si>
  <si>
    <t>EAG4</t>
  </si>
  <si>
    <t>EAH4</t>
  </si>
  <si>
    <t>EAI4</t>
  </si>
  <si>
    <t>EAJ4</t>
  </si>
  <si>
    <t>EAK4</t>
  </si>
  <si>
    <t>EAL4</t>
  </si>
  <si>
    <t>EAC5</t>
  </si>
  <si>
    <t>EAD5</t>
  </si>
  <si>
    <t>EAE5</t>
  </si>
  <si>
    <t>EAF5</t>
  </si>
  <si>
    <t>EAG5</t>
  </si>
  <si>
    <t>EAH5</t>
  </si>
  <si>
    <t>EAI5</t>
  </si>
  <si>
    <t>EAJ5</t>
  </si>
  <si>
    <t>EAK5</t>
  </si>
  <si>
    <t>EAC6</t>
  </si>
  <si>
    <t>EAD6</t>
  </si>
  <si>
    <t>EAE6</t>
  </si>
  <si>
    <t>EAF6</t>
  </si>
  <si>
    <t>EAG6</t>
  </si>
  <si>
    <t>EAH6</t>
  </si>
  <si>
    <t>EAI6</t>
  </si>
  <si>
    <t>EAJ6</t>
  </si>
  <si>
    <t>EAK6</t>
  </si>
  <si>
    <t>EAL6</t>
  </si>
  <si>
    <t>EAC7</t>
  </si>
  <si>
    <t>EAD7</t>
  </si>
  <si>
    <t>EAE7</t>
  </si>
  <si>
    <t>EAF7</t>
  </si>
  <si>
    <t>EAG7</t>
  </si>
  <si>
    <t>EAH7</t>
  </si>
  <si>
    <t>EAI7</t>
  </si>
  <si>
    <t>EAJ7</t>
  </si>
  <si>
    <t>EAK7</t>
  </si>
  <si>
    <t>EAL7</t>
  </si>
  <si>
    <t>EAC8</t>
  </si>
  <si>
    <t>EAD8</t>
  </si>
  <si>
    <t>EAE8</t>
  </si>
  <si>
    <t>EAF8</t>
  </si>
  <si>
    <t>EAG8</t>
  </si>
  <si>
    <t>EAH8</t>
  </si>
  <si>
    <t>EAI8</t>
  </si>
  <si>
    <t>EAJ8</t>
  </si>
  <si>
    <t>EAK8</t>
  </si>
  <si>
    <t>EAL8</t>
  </si>
  <si>
    <t>EAL5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</si>
</sst>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微軟正黑體"/>
      <charset val="134"/>
    </font>
    <font>
      <sz val="12"/>
      <name val="微軟正黑體"/>
      <charset val="134"/>
    </font>
    <font>
      <b/>
      <sz val="12"/>
      <name val="微軟正黑體"/>
      <charset val="134"/>
    </font>
    <font>
      <sz val="12"/>
      <name val="微软雅黑"/>
      <charset val="134"/>
    </font>
    <font>
      <b/>
      <sz val="12"/>
      <name val="等线"/>
      <charset val="134"/>
    </font>
    <font>
      <b/>
      <sz val="12"/>
      <color theme="1"/>
      <name val="微軟正黑體"/>
      <charset val="134"/>
    </font>
    <font>
      <sz val="12"/>
      <color theme="1"/>
      <name val="微軟正黑體"/>
      <charset val="134"/>
    </font>
    <font>
      <sz val="12"/>
      <color rgb="FF00B050"/>
      <name val="微軟正黑體"/>
      <charset val="134"/>
    </font>
    <font>
      <b/>
      <sz val="12"/>
      <name val="Microsoft YaHei UI"/>
      <family val="2"/>
    </font>
    <font>
      <sz val="12"/>
      <name val="Microsoft YaHei UI"/>
      <family val="2"/>
    </font>
    <font>
      <sz val="12"/>
      <color rgb="FFFF0000"/>
      <name val="微軟正黑體"/>
      <charset val="134"/>
    </font>
    <font>
      <sz val="12"/>
      <color indexed="10"/>
      <name val="微軟正黑體"/>
      <charset val="134"/>
    </font>
    <font>
      <sz val="12"/>
      <name val="等线"/>
      <charset val="134"/>
    </font>
    <font>
      <b/>
      <sz val="24"/>
      <name val="等线"/>
      <charset val="134"/>
    </font>
    <font>
      <sz val="10.5"/>
      <color rgb="FF414141"/>
      <name val="Calibri"/>
      <family val="2"/>
      <scheme val="minor"/>
    </font>
    <font>
      <sz val="12"/>
      <color rgb="FF00B0F0"/>
      <name val="微軟正黑體"/>
      <charset val="134"/>
    </font>
    <font>
      <sz val="12"/>
      <color rgb="FF7030A0"/>
      <name val="微軟正黑體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ck">
        <color auto="1"/>
      </left>
      <right style="dashed">
        <color indexed="8"/>
      </right>
      <top style="thick">
        <color auto="1"/>
      </top>
      <bottom/>
      <diagonal/>
    </border>
    <border>
      <left style="dashed">
        <color indexed="14"/>
      </left>
      <right style="dotted">
        <color auto="1"/>
      </right>
      <top style="thick">
        <color auto="1"/>
      </top>
      <bottom/>
      <diagonal/>
    </border>
    <border>
      <left/>
      <right style="dashed">
        <color indexed="8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thick">
        <color auto="1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/>
      <top/>
      <bottom style="dotted">
        <color rgb="FF080808"/>
      </bottom>
      <diagonal/>
    </border>
    <border>
      <left style="dotted">
        <color auto="1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dotted">
        <color auto="1"/>
      </right>
      <top/>
      <bottom style="dotted">
        <color rgb="FF080808"/>
      </bottom>
      <diagonal/>
    </border>
    <border>
      <left/>
      <right style="dashed">
        <color indexed="14"/>
      </right>
      <top/>
      <bottom style="dotted">
        <color rgb="FF080808"/>
      </bottom>
      <diagonal/>
    </border>
    <border>
      <left style="thick">
        <color auto="1"/>
      </left>
      <right style="dashed">
        <color indexed="8"/>
      </right>
      <top/>
      <bottom/>
      <diagonal/>
    </border>
    <border>
      <left style="dashed">
        <color indexed="14"/>
      </left>
      <right style="dotted">
        <color rgb="FF080808"/>
      </right>
      <top/>
      <bottom/>
      <diagonal/>
    </border>
    <border>
      <left/>
      <right style="dashed">
        <color indexed="8"/>
      </right>
      <top/>
      <bottom/>
      <diagonal/>
    </border>
    <border>
      <left style="dashed">
        <color indexed="14"/>
      </left>
      <right style="dotted">
        <color auto="1"/>
      </right>
      <top/>
      <bottom/>
      <diagonal/>
    </border>
    <border>
      <left style="dashed">
        <color indexed="14"/>
      </left>
      <right/>
      <top/>
      <bottom/>
      <diagonal/>
    </border>
    <border>
      <left style="dotted">
        <color rgb="FF080808"/>
      </left>
      <right style="dashed">
        <color indexed="8"/>
      </right>
      <top/>
      <bottom/>
      <diagonal/>
    </border>
    <border>
      <left style="dotted">
        <color auto="1"/>
      </left>
      <right style="dashed">
        <color indexed="8"/>
      </right>
      <top style="dotted">
        <color rgb="FF080808"/>
      </top>
      <bottom/>
      <diagonal/>
    </border>
    <border>
      <left style="dashed">
        <color indexed="14"/>
      </left>
      <right style="dotted">
        <color auto="1"/>
      </right>
      <top style="dotted">
        <color rgb="FF080808"/>
      </top>
      <bottom/>
      <diagonal/>
    </border>
    <border>
      <left style="thick">
        <color auto="1"/>
      </left>
      <right style="dashed">
        <color indexed="14"/>
      </right>
      <top/>
      <bottom style="thick">
        <color auto="1"/>
      </bottom>
      <diagonal/>
    </border>
    <border>
      <left style="dashed">
        <color indexed="14"/>
      </left>
      <right/>
      <top/>
      <bottom style="thick">
        <color auto="1"/>
      </bottom>
      <diagonal/>
    </border>
    <border>
      <left style="dotted">
        <color auto="1"/>
      </left>
      <right style="dashed">
        <color indexed="14"/>
      </right>
      <top/>
      <bottom style="thick">
        <color auto="1"/>
      </bottom>
      <diagonal/>
    </border>
    <border>
      <left style="dashed">
        <color indexed="14"/>
      </left>
      <right style="dotted">
        <color auto="1"/>
      </right>
      <top/>
      <bottom style="thick">
        <color auto="1"/>
      </bottom>
      <diagonal/>
    </border>
    <border>
      <left/>
      <right style="dashed">
        <color indexed="14"/>
      </right>
      <top/>
      <bottom style="thick">
        <color auto="1"/>
      </bottom>
      <diagonal/>
    </border>
    <border>
      <left style="thick">
        <color indexed="8"/>
      </left>
      <right/>
      <top/>
      <bottom/>
      <diagonal/>
    </border>
    <border>
      <left/>
      <right/>
      <top/>
      <bottom style="thick">
        <color indexed="8"/>
      </bottom>
      <diagonal/>
    </border>
    <border>
      <left style="thick">
        <color auto="1"/>
      </left>
      <right style="dashed">
        <color indexed="14"/>
      </right>
      <top style="thick">
        <color indexed="8"/>
      </top>
      <bottom/>
      <diagonal/>
    </border>
    <border>
      <left style="thick">
        <color indexed="8"/>
      </left>
      <right style="dotted">
        <color auto="1"/>
      </right>
      <top style="thick">
        <color indexed="8"/>
      </top>
      <bottom/>
      <diagonal/>
    </border>
    <border>
      <left style="dotted">
        <color auto="1"/>
      </left>
      <right/>
      <top style="thick">
        <color indexed="8"/>
      </top>
      <bottom/>
      <diagonal/>
    </border>
    <border>
      <left/>
      <right style="dotted">
        <color rgb="FF080808"/>
      </right>
      <top style="thick">
        <color indexed="8"/>
      </top>
      <bottom/>
      <diagonal/>
    </border>
    <border>
      <left style="dotted">
        <color rgb="FF080808"/>
      </left>
      <right/>
      <top style="thick">
        <color indexed="8"/>
      </top>
      <bottom/>
      <diagonal/>
    </border>
    <border>
      <left/>
      <right style="dotted">
        <color auto="1"/>
      </right>
      <top style="thick">
        <color indexed="8"/>
      </top>
      <bottom/>
      <diagonal/>
    </border>
    <border>
      <left/>
      <right style="dashed">
        <color indexed="14"/>
      </right>
      <top/>
      <bottom style="dotted">
        <color auto="1"/>
      </bottom>
      <diagonal/>
    </border>
    <border>
      <left style="dashed">
        <color indexed="14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indexed="14"/>
      </right>
      <top/>
      <bottom/>
      <diagonal/>
    </border>
    <border>
      <left style="dotted">
        <color auto="1"/>
      </left>
      <right style="dashed">
        <color indexed="8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ck">
        <color indexed="8"/>
      </left>
      <right style="dashed">
        <color indexed="14"/>
      </right>
      <top/>
      <bottom/>
      <diagonal/>
    </border>
    <border>
      <left style="dotted">
        <color indexed="14"/>
      </left>
      <right style="dotted">
        <color auto="1"/>
      </right>
      <top/>
      <bottom/>
      <diagonal/>
    </border>
    <border>
      <left style="dashed">
        <color indexed="14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dashed">
        <color indexed="14"/>
      </left>
      <right style="thick">
        <color auto="1"/>
      </right>
      <top/>
      <bottom style="dotted">
        <color rgb="FF080808"/>
      </bottom>
      <diagonal/>
    </border>
    <border>
      <left/>
      <right/>
      <top/>
      <bottom style="dotted">
        <color rgb="FF080808"/>
      </bottom>
      <diagonal/>
    </border>
    <border>
      <left/>
      <right style="dotted">
        <color auto="1"/>
      </right>
      <top/>
      <bottom style="dotted">
        <color rgb="FF080808"/>
      </bottom>
      <diagonal/>
    </border>
    <border>
      <left style="dotted">
        <color auto="1"/>
      </left>
      <right style="dashed">
        <color indexed="14"/>
      </right>
      <top/>
      <bottom style="dotted">
        <color auto="1"/>
      </bottom>
      <diagonal/>
    </border>
    <border>
      <left style="dashed">
        <color indexed="14"/>
      </left>
      <right style="thick">
        <color auto="1"/>
      </right>
      <top/>
      <bottom/>
      <diagonal/>
    </border>
    <border>
      <left style="thick">
        <color indexed="8"/>
      </left>
      <right style="dotted">
        <color auto="1"/>
      </right>
      <top/>
      <bottom/>
      <diagonal/>
    </border>
    <border>
      <left style="hair">
        <color indexed="8"/>
      </left>
      <right style="dotted">
        <color auto="1"/>
      </right>
      <top/>
      <bottom/>
      <diagonal/>
    </border>
    <border>
      <left/>
      <right style="dashed">
        <color indexed="14"/>
      </right>
      <top/>
      <bottom/>
      <diagonal/>
    </border>
    <border>
      <left style="dashed">
        <color indexed="14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indexed="8"/>
      </top>
      <bottom/>
      <diagonal/>
    </border>
    <border>
      <left/>
      <right style="dotted">
        <color rgb="FF080808"/>
      </right>
      <top/>
      <bottom/>
      <diagonal/>
    </border>
    <border>
      <left/>
      <right style="dotted">
        <color rgb="FF080808"/>
      </right>
      <top/>
      <bottom style="dotted">
        <color rgb="FF080808"/>
      </bottom>
      <diagonal/>
    </border>
    <border>
      <left style="thick">
        <color indexed="8"/>
      </left>
      <right style="dotted">
        <color rgb="FF080808"/>
      </right>
      <top/>
      <bottom/>
      <diagonal/>
    </border>
    <border>
      <left style="dashed">
        <color indexed="14"/>
      </left>
      <right style="thick">
        <color auto="1"/>
      </right>
      <top style="dotted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ed">
        <color indexed="14"/>
      </right>
      <top/>
      <bottom style="dotted">
        <color rgb="FF080808"/>
      </bottom>
      <diagonal/>
    </border>
    <border>
      <left style="medium">
        <color auto="1"/>
      </left>
      <right style="dashed">
        <color indexed="14"/>
      </right>
      <top/>
      <bottom style="medium">
        <color auto="1"/>
      </bottom>
      <diagonal/>
    </border>
    <border>
      <left style="dotted">
        <color auto="1"/>
      </left>
      <right style="dashed">
        <color indexed="14"/>
      </right>
      <top/>
      <bottom style="medium">
        <color auto="1"/>
      </bottom>
      <diagonal/>
    </border>
    <border>
      <left style="dashed">
        <color indexed="14"/>
      </left>
      <right style="dotted">
        <color auto="1"/>
      </right>
      <top/>
      <bottom style="medium">
        <color auto="1"/>
      </bottom>
      <diagonal/>
    </border>
    <border>
      <left/>
      <right style="dashed">
        <color indexed="14"/>
      </right>
      <top/>
      <bottom style="medium">
        <color auto="1"/>
      </bottom>
      <diagonal/>
    </border>
    <border>
      <left style="medium">
        <color auto="1"/>
      </left>
      <right style="dashed">
        <color indexed="1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indexed="8"/>
      </left>
      <right style="dotted">
        <color rgb="FF080808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indexed="8"/>
      </right>
      <top/>
      <bottom/>
      <diagonal/>
    </border>
    <border>
      <left style="dashed">
        <color indexed="14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indexed="14"/>
      </left>
      <right style="dotted">
        <color rgb="FF080808"/>
      </right>
      <top style="medium">
        <color auto="1"/>
      </top>
      <bottom/>
      <diagonal/>
    </border>
    <border>
      <left style="dashed">
        <color indexed="14"/>
      </left>
      <right style="medium">
        <color auto="1"/>
      </right>
      <top/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dotted">
        <color rgb="FF080808"/>
      </top>
      <bottom/>
      <diagonal/>
    </border>
    <border>
      <left style="dotted">
        <color rgb="FF080808"/>
      </left>
      <right style="dashed">
        <color indexed="14"/>
      </right>
      <top style="medium">
        <color indexed="64"/>
      </top>
      <bottom/>
      <diagonal/>
    </border>
    <border>
      <left style="dashed">
        <color indexed="1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tted">
        <color rgb="FF08080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rgb="FF080808"/>
      </left>
      <right/>
      <top style="dotted">
        <color rgb="FF080808"/>
      </top>
      <bottom/>
      <diagonal/>
    </border>
    <border>
      <left style="medium">
        <color indexed="64"/>
      </left>
      <right style="dashed">
        <color indexed="14"/>
      </right>
      <top style="medium">
        <color indexed="64"/>
      </top>
      <bottom/>
      <diagonal/>
    </border>
    <border>
      <left/>
      <right style="dashed">
        <color indexed="14"/>
      </right>
      <top style="medium">
        <color indexed="64"/>
      </top>
      <bottom/>
      <diagonal/>
    </border>
    <border>
      <left style="dotted">
        <color rgb="FF080808"/>
      </left>
      <right/>
      <top style="medium">
        <color indexed="64"/>
      </top>
      <bottom/>
      <diagonal/>
    </border>
    <border>
      <left/>
      <right style="dotted">
        <color rgb="FF080808"/>
      </right>
      <top style="medium">
        <color indexed="64"/>
      </top>
      <bottom/>
      <diagonal/>
    </border>
    <border>
      <left/>
      <right style="dotted">
        <color rgb="FF08080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4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shrinkToFit="1"/>
    </xf>
    <xf numFmtId="0" fontId="5" fillId="2" borderId="5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49" fontId="8" fillId="2" borderId="5" xfId="0" applyNumberFormat="1" applyFont="1" applyFill="1" applyBorder="1" applyAlignment="1">
      <alignment horizontal="center" shrinkToFit="1"/>
    </xf>
    <xf numFmtId="0" fontId="8" fillId="2" borderId="5" xfId="0" applyFont="1" applyFill="1" applyBorder="1" applyAlignment="1">
      <alignment horizontal="center" shrinkToFit="1"/>
    </xf>
    <xf numFmtId="0" fontId="4" fillId="2" borderId="24" xfId="0" applyFont="1" applyFill="1" applyBorder="1" applyAlignment="1">
      <alignment horizontal="center" shrinkToFit="1"/>
    </xf>
    <xf numFmtId="0" fontId="4" fillId="2" borderId="0" xfId="0" applyFont="1" applyFill="1" applyBorder="1" applyAlignment="1">
      <alignment horizontal="center" shrinkToFit="1"/>
    </xf>
    <xf numFmtId="49" fontId="5" fillId="2" borderId="5" xfId="0" applyNumberFormat="1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shrinkToFit="1"/>
    </xf>
    <xf numFmtId="0" fontId="4" fillId="2" borderId="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 shrinkToFit="1"/>
    </xf>
    <xf numFmtId="0" fontId="11" fillId="2" borderId="0" xfId="0" applyFont="1" applyFill="1" applyBorder="1" applyAlignment="1">
      <alignment horizontal="center" shrinkToFit="1"/>
    </xf>
    <xf numFmtId="0" fontId="8" fillId="2" borderId="41" xfId="0" applyFont="1" applyFill="1" applyBorder="1" applyAlignment="1">
      <alignment horizontal="center" shrinkToFit="1"/>
    </xf>
    <xf numFmtId="49" fontId="8" fillId="2" borderId="53" xfId="0" applyNumberFormat="1" applyFont="1" applyFill="1" applyBorder="1" applyAlignment="1">
      <alignment horizontal="center" shrinkToFit="1"/>
    </xf>
    <xf numFmtId="0" fontId="5" fillId="2" borderId="53" xfId="0" applyFont="1" applyFill="1" applyBorder="1" applyAlignment="1">
      <alignment horizontal="center" shrinkToFit="1"/>
    </xf>
    <xf numFmtId="0" fontId="7" fillId="2" borderId="37" xfId="0" applyFont="1" applyFill="1" applyBorder="1" applyAlignment="1">
      <alignment horizontal="center" shrinkToFit="1"/>
    </xf>
    <xf numFmtId="0" fontId="8" fillId="2" borderId="53" xfId="0" applyFont="1" applyFill="1" applyBorder="1" applyAlignment="1">
      <alignment horizontal="center" shrinkToFit="1"/>
    </xf>
    <xf numFmtId="0" fontId="9" fillId="2" borderId="53" xfId="0" applyFont="1" applyFill="1" applyBorder="1" applyAlignment="1">
      <alignment horizontal="center" shrinkToFit="1"/>
    </xf>
    <xf numFmtId="49" fontId="5" fillId="2" borderId="53" xfId="0" applyNumberFormat="1" applyFont="1" applyFill="1" applyBorder="1" applyAlignment="1">
      <alignment horizontal="center" shrinkToFit="1"/>
    </xf>
    <xf numFmtId="0" fontId="7" fillId="2" borderId="61" xfId="0" applyFont="1" applyFill="1" applyBorder="1" applyAlignment="1">
      <alignment horizontal="center" shrinkToFit="1"/>
    </xf>
    <xf numFmtId="49" fontId="5" fillId="2" borderId="70" xfId="0" applyNumberFormat="1" applyFont="1" applyFill="1" applyBorder="1" applyAlignment="1">
      <alignment horizontal="center" shrinkToFit="1"/>
    </xf>
    <xf numFmtId="0" fontId="11" fillId="2" borderId="61" xfId="0" applyFont="1" applyFill="1" applyBorder="1" applyAlignment="1">
      <alignment horizontal="center" shrinkToFit="1"/>
    </xf>
    <xf numFmtId="0" fontId="4" fillId="2" borderId="0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shrinkToFit="1"/>
    </xf>
    <xf numFmtId="0" fontId="4" fillId="2" borderId="4" xfId="0" applyFont="1" applyFill="1" applyBorder="1" applyAlignment="1">
      <alignment horizont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5" fillId="2" borderId="70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shrinkToFit="1"/>
    </xf>
    <xf numFmtId="0" fontId="0" fillId="0" borderId="89" xfId="0" applyBorder="1" applyAlignment="1">
      <alignment horizontal="center" vertical="center"/>
    </xf>
    <xf numFmtId="0" fontId="17" fillId="0" borderId="89" xfId="0" applyFont="1" applyBorder="1"/>
    <xf numFmtId="0" fontId="2" fillId="0" borderId="89" xfId="0" applyFont="1" applyBorder="1"/>
    <xf numFmtId="0" fontId="1" fillId="0" borderId="89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/>
    </xf>
    <xf numFmtId="14" fontId="4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40" xfId="0" applyFont="1" applyFill="1" applyBorder="1" applyAlignment="1">
      <alignment horizontal="center" shrinkToFit="1"/>
    </xf>
    <xf numFmtId="0" fontId="4" fillId="2" borderId="59" xfId="0" applyFont="1" applyFill="1" applyBorder="1" applyAlignment="1">
      <alignment horizontal="center" shrinkToFit="1"/>
    </xf>
    <xf numFmtId="0" fontId="4" fillId="2" borderId="69" xfId="0" applyFont="1" applyFill="1" applyBorder="1" applyAlignment="1">
      <alignment horizontal="center" shrinkToFit="1"/>
    </xf>
    <xf numFmtId="0" fontId="4" fillId="2" borderId="60" xfId="0" applyFont="1" applyFill="1" applyBorder="1" applyAlignment="1">
      <alignment horizontal="center" shrinkToFit="1"/>
    </xf>
    <xf numFmtId="0" fontId="18" fillId="2" borderId="79" xfId="0" applyFont="1" applyFill="1" applyBorder="1" applyAlignment="1">
      <alignment horizontal="center" shrinkToFit="1"/>
    </xf>
    <xf numFmtId="0" fontId="18" fillId="2" borderId="75" xfId="0" applyFont="1" applyFill="1" applyBorder="1" applyAlignment="1">
      <alignment horizontal="center" shrinkToFit="1"/>
    </xf>
    <xf numFmtId="0" fontId="18" fillId="2" borderId="80" xfId="0" applyFont="1" applyFill="1" applyBorder="1" applyAlignment="1">
      <alignment horizontal="center" shrinkToFit="1"/>
    </xf>
    <xf numFmtId="0" fontId="4" fillId="2" borderId="6" xfId="0" applyFont="1" applyFill="1" applyBorder="1" applyAlignment="1">
      <alignment horizontal="center" shrinkToFit="1"/>
    </xf>
    <xf numFmtId="0" fontId="4" fillId="2" borderId="7" xfId="0" applyFont="1" applyFill="1" applyBorder="1" applyAlignment="1">
      <alignment horizontal="center" shrinkToFit="1"/>
    </xf>
    <xf numFmtId="0" fontId="4" fillId="2" borderId="8" xfId="0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4" fillId="2" borderId="10" xfId="0" applyFont="1" applyFill="1" applyBorder="1" applyAlignment="1">
      <alignment horizontal="center" shrinkToFit="1"/>
    </xf>
    <xf numFmtId="0" fontId="4" fillId="2" borderId="42" xfId="0" applyFont="1" applyFill="1" applyBorder="1" applyAlignment="1">
      <alignment horizontal="center" shrinkToFit="1"/>
    </xf>
    <xf numFmtId="0" fontId="4" fillId="2" borderId="62" xfId="0" applyFont="1" applyFill="1" applyBorder="1" applyAlignment="1">
      <alignment horizontal="center" shrinkToFit="1"/>
    </xf>
    <xf numFmtId="0" fontId="12" fillId="2" borderId="43" xfId="0" applyFont="1" applyFill="1" applyBorder="1" applyAlignment="1">
      <alignment horizontal="center" shrinkToFit="1"/>
    </xf>
    <xf numFmtId="0" fontId="4" fillId="2" borderId="44" xfId="0" applyFont="1" applyFill="1" applyBorder="1" applyAlignment="1">
      <alignment horizontal="center" shrinkToFit="1"/>
    </xf>
    <xf numFmtId="0" fontId="4" fillId="2" borderId="45" xfId="0" applyFont="1" applyFill="1" applyBorder="1" applyAlignment="1">
      <alignment horizontal="center" shrinkToFit="1"/>
    </xf>
    <xf numFmtId="0" fontId="4" fillId="2" borderId="58" xfId="0" applyFont="1" applyFill="1" applyBorder="1" applyAlignment="1">
      <alignment horizontal="center" shrinkToFit="1"/>
    </xf>
    <xf numFmtId="0" fontId="4" fillId="2" borderId="43" xfId="0" applyFont="1" applyFill="1" applyBorder="1" applyAlignment="1">
      <alignment horizontal="center" shrinkToFit="1"/>
    </xf>
    <xf numFmtId="0" fontId="4" fillId="2" borderId="81" xfId="0" applyFont="1" applyFill="1" applyBorder="1" applyAlignment="1">
      <alignment horizontal="center" shrinkToFit="1"/>
    </xf>
    <xf numFmtId="0" fontId="19" fillId="2" borderId="13" xfId="0" applyFont="1" applyFill="1" applyBorder="1" applyAlignment="1">
      <alignment horizontal="center" shrinkToFit="1"/>
    </xf>
    <xf numFmtId="0" fontId="19" fillId="2" borderId="76" xfId="0" applyFont="1" applyFill="1" applyBorder="1" applyAlignment="1">
      <alignment horizontal="center" shrinkToFit="1"/>
    </xf>
    <xf numFmtId="0" fontId="6" fillId="2" borderId="11" xfId="0" applyFont="1" applyFill="1" applyBorder="1" applyAlignment="1">
      <alignment horizontal="center" shrinkToFit="1"/>
    </xf>
    <xf numFmtId="0" fontId="6" fillId="2" borderId="12" xfId="0" applyFont="1" applyFill="1" applyBorder="1" applyAlignment="1">
      <alignment horizontal="center" shrinkToFit="1"/>
    </xf>
    <xf numFmtId="0" fontId="4" fillId="2" borderId="13" xfId="0" applyFont="1" applyFill="1" applyBorder="1" applyAlignment="1">
      <alignment horizontal="center" shrinkToFit="1"/>
    </xf>
    <xf numFmtId="0" fontId="4" fillId="2" borderId="14" xfId="0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center" shrinkToFit="1"/>
    </xf>
    <xf numFmtId="0" fontId="9" fillId="2" borderId="14" xfId="0" applyFont="1" applyFill="1" applyBorder="1" applyAlignment="1">
      <alignment horizontal="center" shrinkToFit="1"/>
    </xf>
    <xf numFmtId="0" fontId="9" fillId="2" borderId="46" xfId="0" applyFont="1" applyFill="1" applyBorder="1" applyAlignment="1">
      <alignment horizontal="center" shrinkToFit="1"/>
    </xf>
    <xf numFmtId="0" fontId="9" fillId="2" borderId="71" xfId="0" applyFont="1" applyFill="1" applyBorder="1" applyAlignment="1">
      <alignment horizontal="center" shrinkToFit="1"/>
    </xf>
    <xf numFmtId="0" fontId="9" fillId="2" borderId="47" xfId="0" applyFont="1" applyFill="1" applyBorder="1" applyAlignment="1">
      <alignment horizontal="center" shrinkToFit="1"/>
    </xf>
    <xf numFmtId="0" fontId="13" fillId="2" borderId="0" xfId="0" applyFont="1" applyFill="1" applyBorder="1" applyAlignment="1">
      <alignment horizontal="center" shrinkToFit="1"/>
    </xf>
    <xf numFmtId="0" fontId="13" fillId="2" borderId="48" xfId="0" applyFont="1" applyFill="1" applyBorder="1" applyAlignment="1">
      <alignment horizontal="center" shrinkToFit="1"/>
    </xf>
    <xf numFmtId="0" fontId="10" fillId="2" borderId="13" xfId="0" applyFont="1" applyFill="1" applyBorder="1" applyAlignment="1">
      <alignment horizontal="center" shrinkToFit="1"/>
    </xf>
    <xf numFmtId="0" fontId="10" fillId="2" borderId="14" xfId="0" applyFont="1" applyFill="1" applyBorder="1" applyAlignment="1">
      <alignment horizontal="center" shrinkToFit="1"/>
    </xf>
    <xf numFmtId="0" fontId="19" fillId="2" borderId="14" xfId="0" applyFont="1" applyFill="1" applyBorder="1" applyAlignment="1">
      <alignment horizontal="center" shrinkToFit="1"/>
    </xf>
    <xf numFmtId="0" fontId="6" fillId="2" borderId="15" xfId="0" applyFont="1" applyFill="1" applyBorder="1" applyAlignment="1">
      <alignment horizontal="center" shrinkToFit="1"/>
    </xf>
    <xf numFmtId="0" fontId="4" fillId="2" borderId="16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shrinkToFit="1"/>
    </xf>
    <xf numFmtId="0" fontId="4" fillId="2" borderId="46" xfId="0" applyFont="1" applyFill="1" applyBorder="1" applyAlignment="1">
      <alignment horizontal="center" shrinkToFit="1"/>
    </xf>
    <xf numFmtId="0" fontId="9" fillId="2" borderId="61" xfId="0" applyFont="1" applyFill="1" applyBorder="1" applyAlignment="1">
      <alignment horizontal="center" shrinkToFit="1"/>
    </xf>
    <xf numFmtId="0" fontId="4" fillId="2" borderId="49" xfId="0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 shrinkToFit="1"/>
    </xf>
    <xf numFmtId="0" fontId="4" fillId="2" borderId="11" xfId="0" applyFont="1" applyFill="1" applyBorder="1" applyAlignment="1">
      <alignment horizontal="center" shrinkToFit="1"/>
    </xf>
    <xf numFmtId="0" fontId="4" fillId="2" borderId="15" xfId="0" applyFont="1" applyFill="1" applyBorder="1" applyAlignment="1">
      <alignment horizontal="center" shrinkToFit="1"/>
    </xf>
    <xf numFmtId="0" fontId="4" fillId="2" borderId="17" xfId="0" applyFont="1" applyFill="1" applyBorder="1" applyAlignment="1">
      <alignment horizontal="center" shrinkToFit="1"/>
    </xf>
    <xf numFmtId="0" fontId="4" fillId="2" borderId="18" xfId="0" applyFont="1" applyFill="1" applyBorder="1" applyAlignment="1">
      <alignment horizontal="center" shrinkToFit="1"/>
    </xf>
    <xf numFmtId="0" fontId="13" fillId="2" borderId="61" xfId="0" applyFont="1" applyFill="1" applyBorder="1" applyAlignment="1">
      <alignment horizontal="center" shrinkToFit="1"/>
    </xf>
    <xf numFmtId="0" fontId="13" fillId="2" borderId="14" xfId="0" applyFont="1" applyFill="1" applyBorder="1" applyAlignment="1">
      <alignment horizontal="center" shrinkToFit="1"/>
    </xf>
    <xf numFmtId="0" fontId="14" fillId="2" borderId="0" xfId="0" applyFont="1" applyFill="1" applyBorder="1" applyAlignment="1">
      <alignment horizontal="center" shrinkToFit="1"/>
    </xf>
    <xf numFmtId="0" fontId="14" fillId="2" borderId="5" xfId="0" applyFont="1" applyFill="1" applyBorder="1" applyAlignment="1">
      <alignment horizontal="center" shrinkToFit="1"/>
    </xf>
    <xf numFmtId="0" fontId="4" fillId="2" borderId="66" xfId="0" applyFont="1" applyFill="1" applyBorder="1" applyAlignment="1">
      <alignment horizontal="center" shrinkToFit="1"/>
    </xf>
    <xf numFmtId="0" fontId="4" fillId="2" borderId="72" xfId="0" applyFont="1" applyFill="1" applyBorder="1" applyAlignment="1">
      <alignment horizontal="center" shrinkToFit="1"/>
    </xf>
    <xf numFmtId="0" fontId="4" fillId="2" borderId="25" xfId="0" applyFont="1" applyFill="1" applyBorder="1" applyAlignment="1">
      <alignment horizontal="center" shrinkToFit="1"/>
    </xf>
    <xf numFmtId="0" fontId="4" fillId="2" borderId="0" xfId="0" applyFont="1" applyFill="1" applyBorder="1" applyAlignment="1">
      <alignment horizontal="center" shrinkToFit="1"/>
    </xf>
    <xf numFmtId="0" fontId="9" fillId="2" borderId="26" xfId="0" applyFont="1" applyFill="1" applyBorder="1" applyAlignment="1">
      <alignment horizontal="center" shrinkToFit="1"/>
    </xf>
    <xf numFmtId="0" fontId="9" fillId="2" borderId="27" xfId="0" applyFont="1" applyFill="1" applyBorder="1" applyAlignment="1">
      <alignment horizontal="center" shrinkToFit="1"/>
    </xf>
    <xf numFmtId="0" fontId="4" fillId="2" borderId="28" xfId="0" applyFont="1" applyFill="1" applyBorder="1" applyAlignment="1">
      <alignment horizontal="center" shrinkToFit="1"/>
    </xf>
    <xf numFmtId="0" fontId="4" fillId="2" borderId="29" xfId="0" applyFont="1" applyFill="1" applyBorder="1" applyAlignment="1">
      <alignment horizontal="center" shrinkToFit="1"/>
    </xf>
    <xf numFmtId="0" fontId="5" fillId="2" borderId="30" xfId="0" applyFont="1" applyFill="1" applyBorder="1" applyAlignment="1">
      <alignment horizontal="center" shrinkToFit="1"/>
    </xf>
    <xf numFmtId="0" fontId="4" fillId="2" borderId="31" xfId="0" applyFont="1" applyFill="1" applyBorder="1" applyAlignment="1">
      <alignment horizontal="center" shrinkToFit="1"/>
    </xf>
    <xf numFmtId="0" fontId="4" fillId="2" borderId="52" xfId="0" applyFont="1" applyFill="1" applyBorder="1" applyAlignment="1">
      <alignment horizontal="center" shrinkToFit="1"/>
    </xf>
    <xf numFmtId="0" fontId="10" fillId="2" borderId="84" xfId="0" applyFont="1" applyFill="1" applyBorder="1" applyAlignment="1">
      <alignment horizontal="center" shrinkToFit="1"/>
    </xf>
    <xf numFmtId="0" fontId="10" fillId="2" borderId="69" xfId="0" applyFont="1" applyFill="1" applyBorder="1" applyAlignment="1">
      <alignment horizontal="center" shrinkToFit="1"/>
    </xf>
    <xf numFmtId="0" fontId="4" fillId="2" borderId="85" xfId="0" applyFont="1" applyFill="1" applyBorder="1" applyAlignment="1">
      <alignment horizontal="center" shrinkToFit="1"/>
    </xf>
    <xf numFmtId="0" fontId="4" fillId="2" borderId="75" xfId="0" applyFont="1" applyFill="1" applyBorder="1" applyAlignment="1">
      <alignment horizontal="center" shrinkToFit="1"/>
    </xf>
    <xf numFmtId="0" fontId="13" fillId="2" borderId="86" xfId="0" applyFont="1" applyFill="1" applyBorder="1" applyAlignment="1">
      <alignment horizontal="center" shrinkToFit="1"/>
    </xf>
    <xf numFmtId="0" fontId="13" fillId="2" borderId="87" xfId="0" applyFont="1" applyFill="1" applyBorder="1" applyAlignment="1">
      <alignment horizontal="center" shrinkToFit="1"/>
    </xf>
    <xf numFmtId="0" fontId="13" fillId="2" borderId="68" xfId="0" applyFont="1" applyFill="1" applyBorder="1" applyAlignment="1">
      <alignment horizontal="center" shrinkToFit="1"/>
    </xf>
    <xf numFmtId="0" fontId="4" fillId="2" borderId="19" xfId="0" applyFont="1" applyFill="1" applyBorder="1" applyAlignment="1">
      <alignment horizontal="center" shrinkToFit="1"/>
    </xf>
    <xf numFmtId="0" fontId="4" fillId="2" borderId="20" xfId="0" applyFont="1" applyFill="1" applyBorder="1" applyAlignment="1">
      <alignment horizontal="center" shrinkToFit="1"/>
    </xf>
    <xf numFmtId="0" fontId="4" fillId="2" borderId="21" xfId="0" applyFont="1" applyFill="1" applyBorder="1" applyAlignment="1">
      <alignment horizontal="center" shrinkToFit="1"/>
    </xf>
    <xf numFmtId="0" fontId="4" fillId="2" borderId="22" xfId="0" applyFont="1" applyFill="1" applyBorder="1" applyAlignment="1">
      <alignment horizontal="center" shrinkToFit="1"/>
    </xf>
    <xf numFmtId="0" fontId="4" fillId="2" borderId="23" xfId="0" applyFont="1" applyFill="1" applyBorder="1" applyAlignment="1">
      <alignment horizontal="center" shrinkToFit="1"/>
    </xf>
    <xf numFmtId="0" fontId="4" fillId="2" borderId="50" xfId="0" applyFont="1" applyFill="1" applyBorder="1" applyAlignment="1">
      <alignment horizontal="center" shrinkToFit="1"/>
    </xf>
    <xf numFmtId="0" fontId="12" fillId="2" borderId="82" xfId="0" applyFont="1" applyFill="1" applyBorder="1" applyAlignment="1">
      <alignment horizontal="center" shrinkToFit="1"/>
    </xf>
    <xf numFmtId="0" fontId="4" fillId="2" borderId="77" xfId="0" applyFont="1" applyFill="1" applyBorder="1" applyAlignment="1">
      <alignment horizontal="center" shrinkToFit="1"/>
    </xf>
    <xf numFmtId="0" fontId="12" fillId="2" borderId="73" xfId="0" applyFont="1" applyFill="1" applyBorder="1" applyAlignment="1">
      <alignment horizontal="center" shrinkToFit="1"/>
    </xf>
    <xf numFmtId="0" fontId="4" fillId="2" borderId="64" xfId="0" applyFont="1" applyFill="1" applyBorder="1" applyAlignment="1">
      <alignment horizontal="center" shrinkToFit="1"/>
    </xf>
    <xf numFmtId="0" fontId="4" fillId="2" borderId="65" xfId="0" applyFont="1" applyFill="1" applyBorder="1" applyAlignment="1">
      <alignment horizontal="center" shrinkToFit="1"/>
    </xf>
    <xf numFmtId="0" fontId="4" fillId="2" borderId="32" xfId="0" applyFont="1" applyFill="1" applyBorder="1" applyAlignment="1">
      <alignment horizontal="center" shrinkToFit="1"/>
    </xf>
    <xf numFmtId="0" fontId="4" fillId="2" borderId="33" xfId="0" applyFont="1" applyFill="1" applyBorder="1" applyAlignment="1">
      <alignment horizontal="center" shrinkToFit="1"/>
    </xf>
    <xf numFmtId="0" fontId="4" fillId="2" borderId="54" xfId="0" applyFont="1" applyFill="1" applyBorder="1" applyAlignment="1">
      <alignment horizontal="center" shrinkToFit="1"/>
    </xf>
    <xf numFmtId="0" fontId="13" fillId="2" borderId="83" xfId="0" applyFont="1" applyFill="1" applyBorder="1" applyAlignment="1">
      <alignment horizontal="center" shrinkToFit="1"/>
    </xf>
    <xf numFmtId="0" fontId="13" fillId="2" borderId="78" xfId="0" applyFont="1" applyFill="1" applyBorder="1" applyAlignment="1">
      <alignment horizontal="center" shrinkToFit="1"/>
    </xf>
    <xf numFmtId="0" fontId="9" fillId="2" borderId="34" xfId="0" applyFont="1" applyFill="1" applyBorder="1" applyAlignment="1">
      <alignment horizontal="center" shrinkToFit="1"/>
    </xf>
    <xf numFmtId="0" fontId="9" fillId="2" borderId="24" xfId="0" applyFont="1" applyFill="1" applyBorder="1" applyAlignment="1">
      <alignment horizontal="center" shrinkToFit="1"/>
    </xf>
    <xf numFmtId="0" fontId="4" fillId="2" borderId="35" xfId="0" applyFont="1" applyFill="1" applyBorder="1" applyAlignment="1">
      <alignment horizontal="center" shrinkToFit="1"/>
    </xf>
    <xf numFmtId="0" fontId="4" fillId="2" borderId="36" xfId="0" applyFont="1" applyFill="1" applyBorder="1" applyAlignment="1">
      <alignment horizontal="center" shrinkToFit="1"/>
    </xf>
    <xf numFmtId="0" fontId="6" fillId="2" borderId="13" xfId="0" applyFont="1" applyFill="1" applyBorder="1" applyAlignment="1">
      <alignment horizontal="center" shrinkToFit="1"/>
    </xf>
    <xf numFmtId="0" fontId="10" fillId="2" borderId="67" xfId="0" applyFont="1" applyFill="1" applyBorder="1" applyAlignment="1">
      <alignment horizontal="center" shrinkToFit="1"/>
    </xf>
    <xf numFmtId="0" fontId="10" fillId="2" borderId="55" xfId="0" applyFont="1" applyFill="1" applyBorder="1" applyAlignment="1">
      <alignment horizontal="center" shrinkToFit="1"/>
    </xf>
    <xf numFmtId="0" fontId="4" fillId="2" borderId="12" xfId="0" applyFont="1" applyFill="1" applyBorder="1" applyAlignment="1">
      <alignment horizontal="center" shrinkToFit="1"/>
    </xf>
    <xf numFmtId="0" fontId="9" fillId="2" borderId="38" xfId="0" applyFont="1" applyFill="1" applyBorder="1" applyAlignment="1">
      <alignment horizontal="center" shrinkToFit="1"/>
    </xf>
    <xf numFmtId="0" fontId="4" fillId="2" borderId="39" xfId="0" applyFont="1" applyFill="1" applyBorder="1" applyAlignment="1">
      <alignment horizontal="center" shrinkToFit="1"/>
    </xf>
    <xf numFmtId="0" fontId="6" fillId="2" borderId="35" xfId="0" applyFont="1" applyFill="1" applyBorder="1" applyAlignment="1">
      <alignment horizontal="center" shrinkToFit="1"/>
    </xf>
    <xf numFmtId="0" fontId="4" fillId="2" borderId="56" xfId="0" applyFont="1" applyFill="1" applyBorder="1" applyAlignment="1">
      <alignment horizontal="center" shrinkToFit="1"/>
    </xf>
    <xf numFmtId="0" fontId="4" fillId="2" borderId="76" xfId="0" applyFont="1" applyFill="1" applyBorder="1" applyAlignment="1">
      <alignment horizontal="center" shrinkToFit="1"/>
    </xf>
    <xf numFmtId="0" fontId="4" fillId="2" borderId="41" xfId="0" applyFont="1" applyFill="1" applyBorder="1" applyAlignment="1">
      <alignment horizontal="center" shrinkToFit="1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2" borderId="51" xfId="0" applyFont="1" applyFill="1" applyBorder="1" applyAlignment="1">
      <alignment horizontal="center" shrinkToFit="1"/>
    </xf>
    <xf numFmtId="0" fontId="4" fillId="2" borderId="57" xfId="0" applyFont="1" applyFill="1" applyBorder="1" applyAlignment="1">
      <alignment horizontal="center" shrinkToFit="1"/>
    </xf>
    <xf numFmtId="0" fontId="4" fillId="2" borderId="63" xfId="0" applyFont="1" applyFill="1" applyBorder="1" applyAlignment="1">
      <alignment horizontal="center" shrinkToFit="1"/>
    </xf>
    <xf numFmtId="0" fontId="4" fillId="2" borderId="88" xfId="0" applyFont="1" applyFill="1" applyBorder="1" applyAlignment="1">
      <alignment horizontal="center" shrinkToFit="1"/>
    </xf>
    <xf numFmtId="0" fontId="15" fillId="2" borderId="66" xfId="0" applyFont="1" applyFill="1" applyBorder="1" applyAlignment="1">
      <alignment horizontal="center" shrinkToFit="1"/>
    </xf>
    <xf numFmtId="0" fontId="4" fillId="2" borderId="74" xfId="0" applyFont="1" applyFill="1" applyBorder="1" applyAlignment="1">
      <alignment horizontal="center" shrinkToFit="1"/>
    </xf>
    <xf numFmtId="0" fontId="7" fillId="2" borderId="4" xfId="0" applyNumberFormat="1" applyFont="1" applyFill="1" applyBorder="1" applyAlignment="1">
      <alignment horizontal="center" vertical="center" shrinkToFit="1"/>
    </xf>
    <xf numFmtId="0" fontId="5" fillId="2" borderId="0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13"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</dxfs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2"/>
  <sheetViews>
    <sheetView tabSelected="1" zoomScaleNormal="100" workbookViewId="0">
      <selection activeCell="AE9" sqref="AE9"/>
    </sheetView>
  </sheetViews>
  <sheetFormatPr defaultColWidth="9" defaultRowHeight="15"/>
  <cols>
    <col min="1" max="18" width="6.140625" customWidth="1"/>
    <col min="19" max="19" width="6.42578125" customWidth="1"/>
    <col min="20" max="21" width="6.140625" customWidth="1"/>
    <col min="25" max="25" width="15.42578125" customWidth="1"/>
    <col min="26" max="26" width="17.140625" customWidth="1"/>
  </cols>
  <sheetData>
    <row r="1" spans="1:26" ht="30.75">
      <c r="A1" s="35" t="s">
        <v>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6" ht="17.25" thickBot="1">
      <c r="A2" s="1"/>
      <c r="B2" s="1"/>
      <c r="C2" s="36"/>
      <c r="D2" s="36"/>
      <c r="E2" s="36"/>
      <c r="F2" s="36"/>
      <c r="G2" s="1"/>
      <c r="H2" s="1"/>
      <c r="I2" s="1"/>
      <c r="J2" s="12"/>
      <c r="K2" s="9"/>
      <c r="L2" s="1"/>
      <c r="M2" s="1"/>
      <c r="N2" s="1"/>
      <c r="O2" s="1"/>
      <c r="P2" s="1"/>
      <c r="Q2" s="1"/>
      <c r="R2" s="37">
        <f ca="1">NOW()</f>
        <v>45535.577859953701</v>
      </c>
      <c r="S2" s="37"/>
      <c r="T2" s="37"/>
      <c r="U2" s="37"/>
    </row>
    <row r="3" spans="1:26" ht="18" thickTop="1">
      <c r="A3" s="38"/>
      <c r="B3" s="39"/>
      <c r="C3" s="40"/>
      <c r="D3" s="41"/>
      <c r="E3" s="40"/>
      <c r="F3" s="41"/>
      <c r="G3" s="40"/>
      <c r="H3" s="41"/>
      <c r="I3" s="40"/>
      <c r="J3" s="42"/>
      <c r="K3" s="9"/>
      <c r="L3" s="43"/>
      <c r="M3" s="44"/>
      <c r="N3" s="45"/>
      <c r="O3" s="44"/>
      <c r="P3" s="46" t="s">
        <v>5</v>
      </c>
      <c r="Q3" s="47"/>
      <c r="R3" s="46" t="s">
        <v>5</v>
      </c>
      <c r="S3" s="47"/>
      <c r="T3" s="46" t="s">
        <v>5</v>
      </c>
      <c r="U3" s="48"/>
    </row>
    <row r="4" spans="1:26" ht="18">
      <c r="A4" s="2" t="s">
        <v>4</v>
      </c>
      <c r="B4" s="3" t="s">
        <v>30</v>
      </c>
      <c r="C4" s="4" t="s">
        <v>4</v>
      </c>
      <c r="D4" s="3" t="s">
        <v>31</v>
      </c>
      <c r="E4" s="4" t="s">
        <v>4</v>
      </c>
      <c r="F4" s="3" t="s">
        <v>32</v>
      </c>
      <c r="G4" s="4" t="s">
        <v>4</v>
      </c>
      <c r="H4" s="3" t="s">
        <v>33</v>
      </c>
      <c r="I4" s="4" t="s">
        <v>4</v>
      </c>
      <c r="J4" s="13" t="s">
        <v>34</v>
      </c>
      <c r="K4" s="9"/>
      <c r="L4" s="22"/>
      <c r="M4" s="3" t="s">
        <v>35</v>
      </c>
      <c r="N4" s="14" t="s">
        <v>4</v>
      </c>
      <c r="O4" s="3" t="s">
        <v>36</v>
      </c>
      <c r="P4" s="30" t="s">
        <v>0</v>
      </c>
      <c r="Q4" s="17" t="s">
        <v>37</v>
      </c>
      <c r="R4" s="30" t="s">
        <v>0</v>
      </c>
      <c r="S4" s="21" t="s">
        <v>38</v>
      </c>
      <c r="T4" s="30" t="s">
        <v>0</v>
      </c>
      <c r="U4" s="23" t="s">
        <v>39</v>
      </c>
    </row>
    <row r="5" spans="1:26" ht="16.5">
      <c r="A5" s="149" t="str">
        <f>IF(ISNA(VLOOKUP("*"&amp;B4&amp;"*",Sheet1!$A$1:$F$93,5,FALSE)),"",IF(VLOOKUP("*"&amp;B4&amp;"*",Sheet1!$A$1:$F$93,5,FALSE)="",MID(VLOOKUP("*"&amp;B4&amp;"*",Sheet1!$A$1:$F$93,4,FALSE),5,8)&amp;VLOOKUP("*"&amp;B4&amp;"*",Sheet1!$A$1:$F$93,6,FALSE),VLOOKUP("*"&amp;B4&amp;"*",Sheet1!$A$1:$F$93,5,FALSE)&amp;VLOOKUP("*"&amp;B4&amp;"*",Sheet1!$A$1:$F$93,6,FALSE)))</f>
        <v/>
      </c>
      <c r="B5" s="150"/>
      <c r="C5" s="149" t="str">
        <f>IF(ISNA(VLOOKUP("*"&amp;D4&amp;"*",Sheet1!$A$1:$F$93,5,FALSE)),"",IF(VLOOKUP("*"&amp;D4&amp;"*",Sheet1!$A$1:$F$93,5,FALSE)="",MID(VLOOKUP("*"&amp;D4&amp;"*",Sheet1!$A$1:$F$93,4,FALSE),5,8)&amp;VLOOKUP("*"&amp;D4&amp;"*",Sheet1!$A$1:$F$93,6,FALSE),VLOOKUP("*"&amp;D4&amp;"*",Sheet1!$A$1:$F$93,5,FALSE)&amp;VLOOKUP("*"&amp;D4&amp;"*",Sheet1!$A$1:$F$93,6,FALSE)))</f>
        <v/>
      </c>
      <c r="D5" s="150"/>
      <c r="E5" s="149" t="str">
        <f>IF(ISNA(VLOOKUP("*"&amp;F4&amp;"*",Sheet1!$A$1:$F$93,5,FALSE)),"",IF(VLOOKUP("*"&amp;F4&amp;"*",Sheet1!$A$1:$F$93,5,FALSE)="",MID(VLOOKUP("*"&amp;F4&amp;"*",Sheet1!$A$1:$F$93,4,FALSE),5,8)&amp;VLOOKUP("*"&amp;F4&amp;"*",Sheet1!$A$1:$F$93,6,FALSE),VLOOKUP("*"&amp;F4&amp;"*",Sheet1!$A$1:$F$93,5,FALSE)&amp;VLOOKUP("*"&amp;F4&amp;"*",Sheet1!$A$1:$F$93,6,FALSE)))</f>
        <v/>
      </c>
      <c r="F5" s="150"/>
      <c r="G5" s="149" t="str">
        <f>IF(ISNA(VLOOKUP("*"&amp;H4&amp;"*",Sheet1!$A$1:$F$93,5,FALSE)),"",IF(VLOOKUP("*"&amp;H4&amp;"*",Sheet1!$A$1:$F$93,5,FALSE)="",MID(VLOOKUP("*"&amp;H4&amp;"*",Sheet1!$A$1:$F$93,4,FALSE),5,8)&amp;VLOOKUP("*"&amp;H4&amp;"*",Sheet1!$A$1:$F$93,6,FALSE),VLOOKUP("*"&amp;H4&amp;"*",Sheet1!$A$1:$F$93,5,FALSE)&amp;VLOOKUP("*"&amp;H4&amp;"*",Sheet1!$A$1:$F$93,6,FALSE)))</f>
        <v/>
      </c>
      <c r="H5" s="150"/>
      <c r="I5" s="149" t="str">
        <f>IF(ISNA(VLOOKUP("*"&amp;J4&amp;"*",Sheet1!$A$1:$F$93,5,FALSE)),"",IF(VLOOKUP("*"&amp;J4&amp;"*",Sheet1!$A$1:$F$93,5,FALSE)="",MID(VLOOKUP("*"&amp;J4&amp;"*",Sheet1!$A$1:$F$93,4,FALSE),5,8)&amp;VLOOKUP("*"&amp;J4&amp;"*",Sheet1!$A$1:$F$93,6,FALSE),VLOOKUP("*"&amp;J4&amp;"*",Sheet1!$A$1:$F$93,5,FALSE)&amp;VLOOKUP("*"&amp;J4&amp;"*",Sheet1!$A$1:$F$93,6,FALSE)))</f>
        <v/>
      </c>
      <c r="J5" s="150"/>
      <c r="K5" s="9"/>
      <c r="L5" s="149" t="str">
        <f>IF(ISNA(VLOOKUP("*"&amp;M4&amp;"*",Sheet1!$A$1:$F$93,5,FALSE)),"",IF(VLOOKUP("*"&amp;M4&amp;"*",Sheet1!$A$1:$F$93,5,FALSE)="",MID(VLOOKUP("*"&amp;M4&amp;"*",Sheet1!$A$1:$F$93,4,FALSE),5,8)&amp;VLOOKUP("*"&amp;M4&amp;"*",Sheet1!$A$1:$F$93,6,FALSE),VLOOKUP("*"&amp;M4&amp;"*",Sheet1!$A$1:$F$93,5,FALSE)&amp;VLOOKUP("*"&amp;M4&amp;"*",Sheet1!$A$1:$F$93,6,FALSE)))</f>
        <v/>
      </c>
      <c r="M5" s="150"/>
      <c r="N5" s="149" t="str">
        <f>IF(ISNA(VLOOKUP("*"&amp;O4&amp;"*",Sheet1!$A$1:$F$93,5,FALSE)),"",IF(VLOOKUP("*"&amp;O4&amp;"*",Sheet1!$A$1:$F$93,5,FALSE)="",MID(VLOOKUP("*"&amp;O4&amp;"*",Sheet1!$A$1:$F$93,4,FALSE),5,8)&amp;VLOOKUP("*"&amp;O4&amp;"*",Sheet1!$A$1:$F$93,6,FALSE),VLOOKUP("*"&amp;O4&amp;"*",Sheet1!$A$1:$F$93,5,FALSE)&amp;VLOOKUP("*"&amp;O4&amp;"*",Sheet1!$A$1:$F$93,6,FALSE)))</f>
        <v/>
      </c>
      <c r="O5" s="150"/>
      <c r="P5" s="149" t="str">
        <f>IF(ISNA(VLOOKUP("*"&amp;Q4&amp;"*",Sheet1!$A$1:$F$93,5,FALSE)),"",IF(VLOOKUP("*"&amp;Q4&amp;"*",Sheet1!$A$1:$F$93,5,FALSE)="",MID(VLOOKUP("*"&amp;Q4&amp;"*",Sheet1!$A$1:$F$93,4,FALSE),5,8)&amp;VLOOKUP("*"&amp;Q4&amp;"*",Sheet1!$A$1:$F$93,6,FALSE),VLOOKUP("*"&amp;Q4&amp;"*",Sheet1!$A$1:$F$93,5,FALSE)&amp;VLOOKUP("*"&amp;Q4&amp;"*",Sheet1!$A$1:$F$93,6,FALSE)))</f>
        <v/>
      </c>
      <c r="Q5" s="150"/>
      <c r="R5" s="149" t="str">
        <f>IF(ISNA(VLOOKUP("*"&amp;S4&amp;"*",Sheet1!$A$1:$F$93,5,FALSE)),"",IF(VLOOKUP("*"&amp;S4&amp;"*",Sheet1!$A$1:$F$93,5,FALSE)="",MID(VLOOKUP("*"&amp;S4&amp;"*",Sheet1!$A$1:$F$93,4,FALSE),5,8)&amp;VLOOKUP("*"&amp;S4&amp;"*",Sheet1!$A$1:$F$93,6,FALSE),VLOOKUP("*"&amp;S4&amp;"*",Sheet1!$A$1:$F$93,5,FALSE)&amp;VLOOKUP("*"&amp;S4&amp;"*",Sheet1!$A$1:$F$93,6,FALSE)))</f>
        <v/>
      </c>
      <c r="S5" s="150"/>
      <c r="T5" s="149" t="str">
        <f>IF(ISNA(VLOOKUP("*"&amp;U4&amp;"*",Sheet1!$A$1:$F$93,5,FALSE)),"",IF(VLOOKUP("*"&amp;U4&amp;"*",Sheet1!$A$1:$F$93,5,FALSE)="",MID(VLOOKUP("*"&amp;U4&amp;"*",Sheet1!$A$1:$F$93,4,FALSE),5,8)&amp;VLOOKUP("*"&amp;U4&amp;"*",Sheet1!$A$1:$F$93,6,FALSE),VLOOKUP("*"&amp;U4&amp;"*",Sheet1!$A$1:$F$93,5,FALSE)&amp;VLOOKUP("*"&amp;U4&amp;"*",Sheet1!$A$1:$F$93,6,FALSE)))</f>
        <v/>
      </c>
      <c r="U5" s="150"/>
    </row>
    <row r="6" spans="1:26" ht="17.25">
      <c r="A6" s="49"/>
      <c r="B6" s="50"/>
      <c r="C6" s="51"/>
      <c r="D6" s="52"/>
      <c r="E6" s="53"/>
      <c r="F6" s="52"/>
      <c r="G6" s="53"/>
      <c r="H6" s="52"/>
      <c r="I6" s="53"/>
      <c r="J6" s="54"/>
      <c r="K6" s="9"/>
      <c r="L6" s="55"/>
      <c r="M6" s="52"/>
      <c r="N6" s="56" t="s">
        <v>4</v>
      </c>
      <c r="O6" s="57"/>
      <c r="P6" s="58" t="s">
        <v>1</v>
      </c>
      <c r="Q6" s="59"/>
      <c r="R6" s="58" t="s">
        <v>1</v>
      </c>
      <c r="S6" s="59"/>
      <c r="T6" s="60" t="s">
        <v>1</v>
      </c>
      <c r="U6" s="61"/>
    </row>
    <row r="7" spans="1:26" ht="17.25">
      <c r="A7" s="64"/>
      <c r="B7" s="65"/>
      <c r="C7" s="66"/>
      <c r="D7" s="67"/>
      <c r="E7" s="66"/>
      <c r="F7" s="67"/>
      <c r="G7" s="68"/>
      <c r="H7" s="69"/>
      <c r="I7" s="68"/>
      <c r="J7" s="70"/>
      <c r="K7" s="9"/>
      <c r="L7" s="71"/>
      <c r="M7" s="72"/>
      <c r="N7" s="73"/>
      <c r="O7" s="74"/>
      <c r="P7" s="75" t="s">
        <v>6</v>
      </c>
      <c r="Q7" s="76"/>
      <c r="R7" s="62" t="s">
        <v>29</v>
      </c>
      <c r="S7" s="77"/>
      <c r="T7" s="62" t="s">
        <v>8</v>
      </c>
      <c r="U7" s="63"/>
    </row>
    <row r="8" spans="1:26" ht="18">
      <c r="A8" s="2" t="s">
        <v>4</v>
      </c>
      <c r="B8" s="3" t="s">
        <v>40</v>
      </c>
      <c r="C8" s="4" t="s">
        <v>4</v>
      </c>
      <c r="D8" s="3" t="s">
        <v>41</v>
      </c>
      <c r="E8" s="4" t="s">
        <v>4</v>
      </c>
      <c r="F8" s="3" t="s">
        <v>42</v>
      </c>
      <c r="G8" s="4" t="s">
        <v>4</v>
      </c>
      <c r="H8" s="6" t="s">
        <v>43</v>
      </c>
      <c r="I8" s="4" t="s">
        <v>4</v>
      </c>
      <c r="J8" s="15" t="s">
        <v>44</v>
      </c>
      <c r="K8" s="9"/>
      <c r="L8" s="22" t="s">
        <v>4</v>
      </c>
      <c r="M8" s="6" t="s">
        <v>45</v>
      </c>
      <c r="N8" s="14" t="s">
        <v>4</v>
      </c>
      <c r="O8" s="6" t="s">
        <v>46</v>
      </c>
      <c r="P8" s="30" t="s">
        <v>0</v>
      </c>
      <c r="Q8" s="10" t="s">
        <v>37</v>
      </c>
      <c r="R8" s="30" t="s">
        <v>0</v>
      </c>
      <c r="S8" s="10" t="s">
        <v>47</v>
      </c>
      <c r="T8" s="30" t="s">
        <v>0</v>
      </c>
      <c r="U8" s="23" t="s">
        <v>48</v>
      </c>
      <c r="Y8" s="31" t="s">
        <v>9</v>
      </c>
      <c r="Z8" s="32" t="s">
        <v>10</v>
      </c>
    </row>
    <row r="9" spans="1:26" ht="16.5">
      <c r="A9" s="149" t="str">
        <f>IF(ISNA(VLOOKUP("*"&amp;B8&amp;"*",Sheet1!$A$1:$F$93,5,FALSE)),"",IF(VLOOKUP("*"&amp;B8&amp;"*",Sheet1!$A$1:$F$93,5,FALSE)="",MID(VLOOKUP("*"&amp;B8&amp;"*",Sheet1!$A$1:$F$93,4,FALSE),5,8)&amp;VLOOKUP("*"&amp;B8&amp;"*",Sheet1!$A$1:$F$93,6,FALSE),VLOOKUP("*"&amp;B8&amp;"*",Sheet1!$A$1:$F$93,5,FALSE)&amp;VLOOKUP("*"&amp;B8&amp;"*",Sheet1!$A$1:$F$93,6,FALSE)))</f>
        <v/>
      </c>
      <c r="B9" s="150"/>
      <c r="C9" s="149" t="str">
        <f>IF(ISNA(VLOOKUP("*"&amp;D8&amp;"*",Sheet1!$A$1:$F$93,5,FALSE)),"",IF(VLOOKUP("*"&amp;D8&amp;"*",Sheet1!$A$1:$F$93,5,FALSE)="",MID(VLOOKUP("*"&amp;D8&amp;"*",Sheet1!$A$1:$F$93,4,FALSE),5,8)&amp;VLOOKUP("*"&amp;D8&amp;"*",Sheet1!$A$1:$F$93,6,FALSE),VLOOKUP("*"&amp;D8&amp;"*",Sheet1!$A$1:$F$93,5,FALSE)&amp;VLOOKUP("*"&amp;D8&amp;"*",Sheet1!$A$1:$F$93,6,FALSE)))</f>
        <v/>
      </c>
      <c r="D9" s="150"/>
      <c r="E9" s="149" t="str">
        <f>IF(ISNA(VLOOKUP("*"&amp;F8&amp;"*",Sheet1!$A$1:$F$93,5,FALSE)),"",IF(VLOOKUP("*"&amp;F8&amp;"*",Sheet1!$A$1:$F$93,5,FALSE)="",MID(VLOOKUP("*"&amp;F8&amp;"*",Sheet1!$A$1:$F$93,4,FALSE),5,8)&amp;VLOOKUP("*"&amp;F8&amp;"*",Sheet1!$A$1:$F$93,6,FALSE),VLOOKUP("*"&amp;F8&amp;"*",Sheet1!$A$1:$F$93,5,FALSE)&amp;VLOOKUP("*"&amp;F8&amp;"*",Sheet1!$A$1:$F$93,6,FALSE)))</f>
        <v/>
      </c>
      <c r="F9" s="150"/>
      <c r="G9" s="149" t="str">
        <f>IF(ISNA(VLOOKUP("*"&amp;H8&amp;"*",Sheet1!$A$1:$F$93,5,FALSE)),"",IF(VLOOKUP("*"&amp;H8&amp;"*",Sheet1!$A$1:$F$93,5,FALSE)="",MID(VLOOKUP("*"&amp;H8&amp;"*",Sheet1!$A$1:$F$93,4,FALSE),5,8)&amp;VLOOKUP("*"&amp;H8&amp;"*",Sheet1!$A$1:$F$93,6,FALSE),VLOOKUP("*"&amp;H8&amp;"*",Sheet1!$A$1:$F$93,5,FALSE)&amp;VLOOKUP("*"&amp;H8&amp;"*",Sheet1!$A$1:$F$93,6,FALSE)))</f>
        <v/>
      </c>
      <c r="H9" s="150"/>
      <c r="I9" s="149" t="str">
        <f>IF(ISNA(VLOOKUP("*"&amp;J8&amp;"*",Sheet1!$A$1:$F$93,5,FALSE)),"",IF(VLOOKUP("*"&amp;J8&amp;"*",Sheet1!$A$1:$F$93,5,FALSE)="",MID(VLOOKUP("*"&amp;J8&amp;"*",Sheet1!$A$1:$F$93,4,FALSE),5,8)&amp;VLOOKUP("*"&amp;J8&amp;"*",Sheet1!$A$1:$F$93,6,FALSE),VLOOKUP("*"&amp;J8&amp;"*",Sheet1!$A$1:$F$93,5,FALSE)&amp;VLOOKUP("*"&amp;J8&amp;"*",Sheet1!$A$1:$F$93,6,FALSE)))</f>
        <v/>
      </c>
      <c r="J9" s="150"/>
      <c r="K9" s="9"/>
      <c r="L9" s="149" t="str">
        <f>IF(ISNA(VLOOKUP("*"&amp;M8&amp;"*",Sheet1!$A$1:$F$93,5,FALSE)),"",IF(VLOOKUP("*"&amp;M8&amp;"*",Sheet1!$A$1:$F$93,5,FALSE)="",MID(VLOOKUP("*"&amp;M8&amp;"*",Sheet1!$A$1:$F$93,4,FALSE),5,8)&amp;VLOOKUP("*"&amp;M8&amp;"*",Sheet1!$A$1:$F$93,6,FALSE),VLOOKUP("*"&amp;M8&amp;"*",Sheet1!$A$1:$F$93,5,FALSE)&amp;VLOOKUP("*"&amp;M8&amp;"*",Sheet1!$A$1:$F$93,6,FALSE)))</f>
        <v/>
      </c>
      <c r="M9" s="150"/>
      <c r="N9" s="149" t="str">
        <f>IF(ISNA(VLOOKUP("*"&amp;O8&amp;"*",Sheet1!$A$1:$F$93,5,FALSE)),"",IF(VLOOKUP("*"&amp;O8&amp;"*",Sheet1!$A$1:$F$93,5,FALSE)="",MID(VLOOKUP("*"&amp;O8&amp;"*",Sheet1!$A$1:$F$93,4,FALSE),5,8)&amp;VLOOKUP("*"&amp;O8&amp;"*",Sheet1!$A$1:$F$93,6,FALSE),VLOOKUP("*"&amp;O8&amp;"*",Sheet1!$A$1:$F$93,5,FALSE)&amp;VLOOKUP("*"&amp;O8&amp;"*",Sheet1!$A$1:$F$93,6,FALSE)))</f>
        <v/>
      </c>
      <c r="O9" s="150"/>
      <c r="P9" s="149" t="str">
        <f>IF(ISNA(VLOOKUP("*"&amp;Q8&amp;"*",Sheet1!$A$1:$F$93,5,FALSE)),"",IF(VLOOKUP("*"&amp;Q8&amp;"*",Sheet1!$A$1:$F$93,5,FALSE)="",MID(VLOOKUP("*"&amp;Q8&amp;"*",Sheet1!$A$1:$F$93,4,FALSE),5,8)&amp;VLOOKUP("*"&amp;Q8&amp;"*",Sheet1!$A$1:$F$93,6,FALSE),VLOOKUP("*"&amp;Q8&amp;"*",Sheet1!$A$1:$F$93,5,FALSE)&amp;VLOOKUP("*"&amp;Q8&amp;"*",Sheet1!$A$1:$F$93,6,FALSE)))</f>
        <v/>
      </c>
      <c r="Q9" s="150"/>
      <c r="R9" s="149" t="str">
        <f>IF(ISNA(VLOOKUP("*"&amp;S8&amp;"*",Sheet1!$A$1:$F$93,5,FALSE)),"",IF(VLOOKUP("*"&amp;S8&amp;"*",Sheet1!$A$1:$F$93,5,FALSE)="",MID(VLOOKUP("*"&amp;S8&amp;"*",Sheet1!$A$1:$F$93,4,FALSE),5,8)&amp;VLOOKUP("*"&amp;S8&amp;"*",Sheet1!$A$1:$F$93,6,FALSE),VLOOKUP("*"&amp;S8&amp;"*",Sheet1!$A$1:$F$93,5,FALSE)&amp;VLOOKUP("*"&amp;S8&amp;"*",Sheet1!$A$1:$F$93,6,FALSE)))</f>
        <v/>
      </c>
      <c r="S9" s="150"/>
      <c r="T9" s="149" t="str">
        <f>IF(ISNA(VLOOKUP("*"&amp;U8&amp;"*",Sheet1!$A$1:$F$93,5,FALSE)),"",IF(VLOOKUP("*"&amp;U8&amp;"*",Sheet1!$A$1:$F$93,5,FALSE)="",MID(VLOOKUP("*"&amp;U8&amp;"*",Sheet1!$A$1:$F$93,4,FALSE),5,8)&amp;VLOOKUP("*"&amp;U8&amp;"*",Sheet1!$A$1:$F$93,6,FALSE),VLOOKUP("*"&amp;U8&amp;"*",Sheet1!$A$1:$F$93,5,FALSE)&amp;VLOOKUP("*"&amp;U8&amp;"*",Sheet1!$A$1:$F$93,6,FALSE)))</f>
        <v/>
      </c>
      <c r="U9" s="150"/>
      <c r="Y9" s="31" t="s">
        <v>11</v>
      </c>
      <c r="Z9" s="33" t="s">
        <v>12</v>
      </c>
    </row>
    <row r="10" spans="1:26" ht="17.25">
      <c r="A10" s="49"/>
      <c r="B10" s="50"/>
      <c r="C10" s="51"/>
      <c r="D10" s="52"/>
      <c r="E10" s="53"/>
      <c r="F10" s="52"/>
      <c r="G10" s="53"/>
      <c r="H10" s="52"/>
      <c r="I10" s="53"/>
      <c r="J10" s="54"/>
      <c r="K10" s="9"/>
      <c r="L10" s="55"/>
      <c r="M10" s="52"/>
      <c r="N10" s="56" t="s">
        <v>4</v>
      </c>
      <c r="O10" s="57"/>
      <c r="P10" s="58" t="s">
        <v>1</v>
      </c>
      <c r="Q10" s="59"/>
      <c r="R10" s="58" t="s">
        <v>1</v>
      </c>
      <c r="S10" s="59"/>
      <c r="T10" s="60" t="s">
        <v>1</v>
      </c>
      <c r="U10" s="61"/>
      <c r="Y10" s="31" t="s">
        <v>13</v>
      </c>
      <c r="Z10" s="33" t="s">
        <v>14</v>
      </c>
    </row>
    <row r="11" spans="1:26" ht="17.25">
      <c r="A11" s="64"/>
      <c r="B11" s="78"/>
      <c r="C11" s="79"/>
      <c r="D11" s="67"/>
      <c r="E11" s="66"/>
      <c r="F11" s="67"/>
      <c r="G11" s="68"/>
      <c r="H11" s="69"/>
      <c r="I11" s="80"/>
      <c r="J11" s="81"/>
      <c r="K11" s="9"/>
      <c r="L11" s="82"/>
      <c r="M11" s="69"/>
      <c r="N11" s="83"/>
      <c r="O11" s="84"/>
      <c r="P11" s="75" t="s">
        <v>6</v>
      </c>
      <c r="Q11" s="76"/>
      <c r="R11" s="62" t="s">
        <v>8</v>
      </c>
      <c r="S11" s="77"/>
      <c r="T11" s="62" t="s">
        <v>29</v>
      </c>
      <c r="U11" s="63"/>
      <c r="Y11" s="34" t="s">
        <v>15</v>
      </c>
      <c r="Z11" s="33" t="s">
        <v>16</v>
      </c>
    </row>
    <row r="12" spans="1:26" ht="18">
      <c r="A12" s="2" t="s">
        <v>4</v>
      </c>
      <c r="B12" s="3" t="s">
        <v>49</v>
      </c>
      <c r="C12" s="4" t="s">
        <v>4</v>
      </c>
      <c r="D12" s="3" t="s">
        <v>50</v>
      </c>
      <c r="E12" s="4" t="s">
        <v>4</v>
      </c>
      <c r="F12" s="3" t="s">
        <v>51</v>
      </c>
      <c r="G12" s="4" t="s">
        <v>4</v>
      </c>
      <c r="H12" s="7" t="s">
        <v>52</v>
      </c>
      <c r="I12" s="4" t="s">
        <v>4</v>
      </c>
      <c r="J12" s="13" t="s">
        <v>53</v>
      </c>
      <c r="K12" s="11"/>
      <c r="L12" s="22" t="s">
        <v>4</v>
      </c>
      <c r="M12" s="6" t="s">
        <v>54</v>
      </c>
      <c r="N12" s="14" t="s">
        <v>4</v>
      </c>
      <c r="O12" s="3" t="s">
        <v>55</v>
      </c>
      <c r="P12" s="30" t="s">
        <v>0</v>
      </c>
      <c r="Q12" s="10" t="s">
        <v>56</v>
      </c>
      <c r="R12" s="30" t="s">
        <v>0</v>
      </c>
      <c r="S12" s="10" t="s">
        <v>57</v>
      </c>
      <c r="T12" s="30" t="s">
        <v>0</v>
      </c>
      <c r="U12" s="23" t="s">
        <v>58</v>
      </c>
      <c r="Y12" s="31" t="s">
        <v>17</v>
      </c>
      <c r="Z12" s="33" t="s">
        <v>18</v>
      </c>
    </row>
    <row r="13" spans="1:26" ht="16.5">
      <c r="A13" s="149" t="str">
        <f>IF(ISNA(VLOOKUP("*"&amp;B12&amp;"*",Sheet1!$A$1:$F$93,5,FALSE)),"",IF(VLOOKUP("*"&amp;B12&amp;"*",Sheet1!$A$1:$F$93,5,FALSE)="",MID(VLOOKUP("*"&amp;B12&amp;"*",Sheet1!$A$1:$F$93,4,FALSE),5,8)&amp;VLOOKUP("*"&amp;B12&amp;"*",Sheet1!$A$1:$F$93,6,FALSE),VLOOKUP("*"&amp;B12&amp;"*",Sheet1!$A$1:$F$93,5,FALSE)&amp;VLOOKUP("*"&amp;B12&amp;"*",Sheet1!$A$1:$F$93,6,FALSE)))</f>
        <v/>
      </c>
      <c r="B13" s="150"/>
      <c r="C13" s="149" t="str">
        <f>IF(ISNA(VLOOKUP("*"&amp;D12&amp;"*",Sheet1!$A$1:$F$93,5,FALSE)),"",IF(VLOOKUP("*"&amp;D12&amp;"*",Sheet1!$A$1:$F$93,5,FALSE)="",MID(VLOOKUP("*"&amp;D12&amp;"*",Sheet1!$A$1:$F$93,4,FALSE),5,8)&amp;VLOOKUP("*"&amp;D12&amp;"*",Sheet1!$A$1:$F$93,6,FALSE),VLOOKUP("*"&amp;D12&amp;"*",Sheet1!$A$1:$F$93,5,FALSE)&amp;VLOOKUP("*"&amp;D12&amp;"*",Sheet1!$A$1:$F$93,6,FALSE)))</f>
        <v/>
      </c>
      <c r="D13" s="150"/>
      <c r="E13" s="149" t="str">
        <f>IF(ISNA(VLOOKUP("*"&amp;F12&amp;"*",Sheet1!$A$1:$F$93,5,FALSE)),"",IF(VLOOKUP("*"&amp;F12&amp;"*",Sheet1!$A$1:$F$93,5,FALSE)="",MID(VLOOKUP("*"&amp;F12&amp;"*",Sheet1!$A$1:$F$93,4,FALSE),5,8)&amp;VLOOKUP("*"&amp;F12&amp;"*",Sheet1!$A$1:$F$93,6,FALSE),VLOOKUP("*"&amp;F12&amp;"*",Sheet1!$A$1:$F$93,5,FALSE)&amp;VLOOKUP("*"&amp;F12&amp;"*",Sheet1!$A$1:$F$93,6,FALSE)))</f>
        <v/>
      </c>
      <c r="F13" s="150"/>
      <c r="G13" s="149" t="str">
        <f>IF(ISNA(VLOOKUP("*"&amp;H12&amp;"*",Sheet1!$A$1:$F$93,5,FALSE)),"",IF(VLOOKUP("*"&amp;H12&amp;"*",Sheet1!$A$1:$F$93,5,FALSE)="",MID(VLOOKUP("*"&amp;H12&amp;"*",Sheet1!$A$1:$F$93,4,FALSE),5,8)&amp;VLOOKUP("*"&amp;H12&amp;"*",Sheet1!$A$1:$F$93,6,FALSE),VLOOKUP("*"&amp;H12&amp;"*",Sheet1!$A$1:$F$93,5,FALSE)&amp;VLOOKUP("*"&amp;H12&amp;"*",Sheet1!$A$1:$F$93,6,FALSE)))</f>
        <v/>
      </c>
      <c r="H13" s="150"/>
      <c r="I13" s="149" t="str">
        <f>IF(ISNA(VLOOKUP("*"&amp;J12&amp;"*",Sheet1!$A$1:$F$93,5,FALSE)),"",IF(VLOOKUP("*"&amp;J12&amp;"*",Sheet1!$A$1:$F$93,5,FALSE)="",MID(VLOOKUP("*"&amp;J12&amp;"*",Sheet1!$A$1:$F$93,4,FALSE),5,8)&amp;VLOOKUP("*"&amp;J12&amp;"*",Sheet1!$A$1:$F$93,6,FALSE),VLOOKUP("*"&amp;J12&amp;"*",Sheet1!$A$1:$F$93,5,FALSE)&amp;VLOOKUP("*"&amp;J12&amp;"*",Sheet1!$A$1:$F$93,6,FALSE)))</f>
        <v/>
      </c>
      <c r="J13" s="150"/>
      <c r="K13" s="5"/>
      <c r="L13" s="149" t="str">
        <f>IF(ISNA(VLOOKUP("*"&amp;M12&amp;"*",Sheet1!$A$1:$F$93,5,FALSE)),"",IF(VLOOKUP("*"&amp;M12&amp;"*",Sheet1!$A$1:$F$93,5,FALSE)="",MID(VLOOKUP("*"&amp;M12&amp;"*",Sheet1!$A$1:$F$93,4,FALSE),5,8)&amp;VLOOKUP("*"&amp;M12&amp;"*",Sheet1!$A$1:$F$93,6,FALSE),VLOOKUP("*"&amp;M12&amp;"*",Sheet1!$A$1:$F$93,5,FALSE)&amp;VLOOKUP("*"&amp;M12&amp;"*",Sheet1!$A$1:$F$93,6,FALSE)))</f>
        <v/>
      </c>
      <c r="M13" s="150"/>
      <c r="N13" s="149" t="str">
        <f>IF(ISNA(VLOOKUP("*"&amp;O12&amp;"*",Sheet1!$A$1:$F$93,5,FALSE)),"",IF(VLOOKUP("*"&amp;O12&amp;"*",Sheet1!$A$1:$F$93,5,FALSE)="",MID(VLOOKUP("*"&amp;O12&amp;"*",Sheet1!$A$1:$F$93,4,FALSE),5,8)&amp;VLOOKUP("*"&amp;O12&amp;"*",Sheet1!$A$1:$F$93,6,FALSE),VLOOKUP("*"&amp;O12&amp;"*",Sheet1!$A$1:$F$93,5,FALSE)&amp;VLOOKUP("*"&amp;O12&amp;"*",Sheet1!$A$1:$F$93,6,FALSE)))</f>
        <v/>
      </c>
      <c r="O13" s="150"/>
      <c r="P13" s="149" t="str">
        <f>IF(ISNA(VLOOKUP("*"&amp;Q12&amp;"*",Sheet1!$A$1:$F$93,5,FALSE)),"",IF(VLOOKUP("*"&amp;Q12&amp;"*",Sheet1!$A$1:$F$93,5,FALSE)="",MID(VLOOKUP("*"&amp;Q12&amp;"*",Sheet1!$A$1:$F$93,4,FALSE),5,8)&amp;VLOOKUP("*"&amp;Q12&amp;"*",Sheet1!$A$1:$F$93,6,FALSE),VLOOKUP("*"&amp;Q12&amp;"*",Sheet1!$A$1:$F$93,5,FALSE)&amp;VLOOKUP("*"&amp;Q12&amp;"*",Sheet1!$A$1:$F$93,6,FALSE)))</f>
        <v/>
      </c>
      <c r="Q13" s="150"/>
      <c r="R13" s="149" t="str">
        <f>IF(ISNA(VLOOKUP("*"&amp;S12&amp;"*",Sheet1!$A$1:$F$93,5,FALSE)),"",IF(VLOOKUP("*"&amp;S12&amp;"*",Sheet1!$A$1:$F$93,5,FALSE)="",MID(VLOOKUP("*"&amp;S12&amp;"*",Sheet1!$A$1:$F$93,4,FALSE),5,8)&amp;VLOOKUP("*"&amp;S12&amp;"*",Sheet1!$A$1:$F$93,6,FALSE),VLOOKUP("*"&amp;S12&amp;"*",Sheet1!$A$1:$F$93,5,FALSE)&amp;VLOOKUP("*"&amp;S12&amp;"*",Sheet1!$A$1:$F$93,6,FALSE)))</f>
        <v/>
      </c>
      <c r="S13" s="150"/>
      <c r="T13" s="149" t="str">
        <f>IF(ISNA(VLOOKUP("*"&amp;U12&amp;"*",Sheet1!$A$1:$F$93,5,FALSE)),"",IF(VLOOKUP("*"&amp;U12&amp;"*",Sheet1!$A$1:$F$93,5,FALSE)="",MID(VLOOKUP("*"&amp;U12&amp;"*",Sheet1!$A$1:$F$93,4,FALSE),5,8)&amp;VLOOKUP("*"&amp;U12&amp;"*",Sheet1!$A$1:$F$93,6,FALSE),VLOOKUP("*"&amp;U12&amp;"*",Sheet1!$A$1:$F$93,5,FALSE)&amp;VLOOKUP("*"&amp;U12&amp;"*",Sheet1!$A$1:$F$93,6,FALSE)))</f>
        <v/>
      </c>
      <c r="U13" s="150"/>
      <c r="Y13" s="31" t="s">
        <v>19</v>
      </c>
      <c r="Z13" s="33" t="s">
        <v>20</v>
      </c>
    </row>
    <row r="14" spans="1:26" ht="17.25">
      <c r="A14" s="49"/>
      <c r="B14" s="50"/>
      <c r="C14" s="51"/>
      <c r="D14" s="52"/>
      <c r="E14" s="53"/>
      <c r="F14" s="52"/>
      <c r="G14" s="53"/>
      <c r="H14" s="52"/>
      <c r="I14" s="53"/>
      <c r="J14" s="54"/>
      <c r="K14" s="9"/>
      <c r="L14" s="55"/>
      <c r="M14" s="52"/>
      <c r="N14" s="56" t="s">
        <v>4</v>
      </c>
      <c r="O14" s="57"/>
      <c r="P14" s="58" t="s">
        <v>1</v>
      </c>
      <c r="Q14" s="59"/>
      <c r="R14" s="58" t="s">
        <v>1</v>
      </c>
      <c r="S14" s="59"/>
      <c r="T14" s="60" t="s">
        <v>1</v>
      </c>
      <c r="U14" s="61"/>
      <c r="Y14" s="31" t="s">
        <v>21</v>
      </c>
      <c r="Z14" s="33" t="s">
        <v>22</v>
      </c>
    </row>
    <row r="15" spans="1:26" ht="15.75">
      <c r="A15" s="85"/>
      <c r="B15" s="86"/>
      <c r="C15" s="87"/>
      <c r="D15" s="88"/>
      <c r="E15" s="68"/>
      <c r="F15" s="76"/>
      <c r="G15" s="68"/>
      <c r="H15" s="69"/>
      <c r="I15" s="68"/>
      <c r="J15" s="70"/>
      <c r="K15" s="9"/>
      <c r="L15" s="89"/>
      <c r="M15" s="90"/>
      <c r="N15" s="91"/>
      <c r="O15" s="92"/>
      <c r="P15" s="75" t="s">
        <v>6</v>
      </c>
      <c r="Q15" s="76"/>
      <c r="R15" s="62" t="s">
        <v>8</v>
      </c>
      <c r="S15" s="77"/>
      <c r="T15" s="62" t="s">
        <v>8</v>
      </c>
      <c r="U15" s="63"/>
      <c r="Y15" s="31" t="s">
        <v>23</v>
      </c>
      <c r="Z15" s="33" t="s">
        <v>24</v>
      </c>
    </row>
    <row r="16" spans="1:26" ht="18">
      <c r="A16" s="2" t="s">
        <v>4</v>
      </c>
      <c r="B16" s="3" t="s">
        <v>59</v>
      </c>
      <c r="C16" s="4" t="s">
        <v>4</v>
      </c>
      <c r="D16" s="3" t="s">
        <v>60</v>
      </c>
      <c r="E16" s="4" t="s">
        <v>4</v>
      </c>
      <c r="F16" s="6" t="s">
        <v>61</v>
      </c>
      <c r="G16" s="4" t="s">
        <v>4</v>
      </c>
      <c r="H16" s="7" t="s">
        <v>62</v>
      </c>
      <c r="I16" s="4" t="s">
        <v>4</v>
      </c>
      <c r="J16" s="15" t="s">
        <v>63</v>
      </c>
      <c r="K16" s="11"/>
      <c r="L16" s="24" t="s">
        <v>4</v>
      </c>
      <c r="M16" s="7" t="s">
        <v>64</v>
      </c>
      <c r="N16" s="14" t="s">
        <v>4</v>
      </c>
      <c r="O16" s="7" t="s">
        <v>65</v>
      </c>
      <c r="P16" s="30" t="s">
        <v>0</v>
      </c>
      <c r="Q16" s="10" t="s">
        <v>66</v>
      </c>
      <c r="R16" s="30" t="s">
        <v>0</v>
      </c>
      <c r="S16" s="10" t="s">
        <v>67</v>
      </c>
      <c r="T16" s="30" t="s">
        <v>0</v>
      </c>
      <c r="U16" s="23" t="s">
        <v>98</v>
      </c>
      <c r="Y16" s="31" t="s">
        <v>25</v>
      </c>
      <c r="Z16" s="33" t="s">
        <v>26</v>
      </c>
    </row>
    <row r="17" spans="1:26" ht="16.5">
      <c r="A17" s="149" t="str">
        <f>IF(ISNA(VLOOKUP("*"&amp;B16&amp;"*",Sheet1!$A$1:$F$93,5,FALSE)),"",IF(VLOOKUP("*"&amp;B16&amp;"*",Sheet1!$A$1:$F$93,5,FALSE)="",MID(VLOOKUP("*"&amp;B16&amp;"*",Sheet1!$A$1:$F$93,4,FALSE),5,8)&amp;VLOOKUP("*"&amp;B16&amp;"*",Sheet1!$A$1:$F$93,6,FALSE),VLOOKUP("*"&amp;B16&amp;"*",Sheet1!$A$1:$F$93,5,FALSE)&amp;VLOOKUP("*"&amp;B16&amp;"*",Sheet1!$A$1:$F$93,6,FALSE)))</f>
        <v/>
      </c>
      <c r="B17" s="150"/>
      <c r="C17" s="149" t="str">
        <f>IF(ISNA(VLOOKUP("*"&amp;D16&amp;"*",Sheet1!$A$1:$F$93,5,FALSE)),"",IF(VLOOKUP("*"&amp;D16&amp;"*",Sheet1!$A$1:$F$93,5,FALSE)="",MID(VLOOKUP("*"&amp;D16&amp;"*",Sheet1!$A$1:$F$93,4,FALSE),5,8)&amp;VLOOKUP("*"&amp;D16&amp;"*",Sheet1!$A$1:$F$93,6,FALSE),VLOOKUP("*"&amp;D16&amp;"*",Sheet1!$A$1:$F$93,5,FALSE)&amp;VLOOKUP("*"&amp;D16&amp;"*",Sheet1!$A$1:$F$93,6,FALSE)))</f>
        <v/>
      </c>
      <c r="D17" s="150"/>
      <c r="E17" s="149" t="str">
        <f>IF(ISNA(VLOOKUP("*"&amp;F16&amp;"*",Sheet1!$A$1:$F$93,5,FALSE)),"",IF(VLOOKUP("*"&amp;F16&amp;"*",Sheet1!$A$1:$F$93,5,FALSE)="",MID(VLOOKUP("*"&amp;F16&amp;"*",Sheet1!$A$1:$F$93,4,FALSE),5,8)&amp;VLOOKUP("*"&amp;F16&amp;"*",Sheet1!$A$1:$F$93,6,FALSE),VLOOKUP("*"&amp;F16&amp;"*",Sheet1!$A$1:$F$93,5,FALSE)&amp;VLOOKUP("*"&amp;F16&amp;"*",Sheet1!$A$1:$F$93,6,FALSE)))</f>
        <v/>
      </c>
      <c r="F17" s="150"/>
      <c r="G17" s="149" t="str">
        <f>IF(ISNA(VLOOKUP("*"&amp;H16&amp;"*",Sheet1!$A$1:$F$93,5,FALSE)),"",IF(VLOOKUP("*"&amp;H16&amp;"*",Sheet1!$A$1:$F$93,5,FALSE)="",MID(VLOOKUP("*"&amp;H16&amp;"*",Sheet1!$A$1:$F$93,4,FALSE),5,8)&amp;VLOOKUP("*"&amp;H16&amp;"*",Sheet1!$A$1:$F$93,6,FALSE),VLOOKUP("*"&amp;H16&amp;"*",Sheet1!$A$1:$F$93,5,FALSE)&amp;VLOOKUP("*"&amp;H16&amp;"*",Sheet1!$A$1:$F$93,6,FALSE)))</f>
        <v/>
      </c>
      <c r="H17" s="150"/>
      <c r="I17" s="149" t="str">
        <f>IF(ISNA(VLOOKUP("*"&amp;J16&amp;"*",Sheet1!$A$1:$F$93,5,FALSE)),"",IF(VLOOKUP("*"&amp;J16&amp;"*",Sheet1!$A$1:$F$93,5,FALSE)="",MID(VLOOKUP("*"&amp;J16&amp;"*",Sheet1!$A$1:$F$93,4,FALSE),5,8)&amp;VLOOKUP("*"&amp;J16&amp;"*",Sheet1!$A$1:$F$93,6,FALSE),VLOOKUP("*"&amp;J16&amp;"*",Sheet1!$A$1:$F$93,5,FALSE)&amp;VLOOKUP("*"&amp;J16&amp;"*",Sheet1!$A$1:$F$93,6,FALSE)))</f>
        <v/>
      </c>
      <c r="J17" s="150"/>
      <c r="K17" s="5"/>
      <c r="L17" s="149" t="str">
        <f>IF(ISNA(VLOOKUP("*"&amp;M16&amp;"*",Sheet1!$A$1:$F$93,5,FALSE)),"",IF(VLOOKUP("*"&amp;M16&amp;"*",Sheet1!$A$1:$F$93,5,FALSE)="",MID(VLOOKUP("*"&amp;M16&amp;"*",Sheet1!$A$1:$F$93,4,FALSE),5,8)&amp;VLOOKUP("*"&amp;M16&amp;"*",Sheet1!$A$1:$F$93,6,FALSE),VLOOKUP("*"&amp;M16&amp;"*",Sheet1!$A$1:$F$93,5,FALSE)&amp;VLOOKUP("*"&amp;M16&amp;"*",Sheet1!$A$1:$F$93,6,FALSE)))</f>
        <v/>
      </c>
      <c r="M17" s="150"/>
      <c r="N17" s="149" t="str">
        <f>IF(ISNA(VLOOKUP("*"&amp;O16&amp;"*",Sheet1!$A$1:$F$93,5,FALSE)),"",IF(VLOOKUP("*"&amp;O16&amp;"*",Sheet1!$A$1:$F$93,5,FALSE)="",MID(VLOOKUP("*"&amp;O16&amp;"*",Sheet1!$A$1:$F$93,4,FALSE),5,8)&amp;VLOOKUP("*"&amp;O16&amp;"*",Sheet1!$A$1:$F$93,6,FALSE),VLOOKUP("*"&amp;O16&amp;"*",Sheet1!$A$1:$F$93,5,FALSE)&amp;VLOOKUP("*"&amp;O16&amp;"*",Sheet1!$A$1:$F$93,6,FALSE)))</f>
        <v/>
      </c>
      <c r="O17" s="150"/>
      <c r="P17" s="149" t="str">
        <f>IF(ISNA(VLOOKUP("*"&amp;Q16&amp;"*",Sheet1!$A$1:$F$93,5,FALSE)),"",IF(VLOOKUP("*"&amp;Q16&amp;"*",Sheet1!$A$1:$F$93,5,FALSE)="",MID(VLOOKUP("*"&amp;Q16&amp;"*",Sheet1!$A$1:$F$93,4,FALSE),5,8)&amp;VLOOKUP("*"&amp;Q16&amp;"*",Sheet1!$A$1:$F$93,6,FALSE),VLOOKUP("*"&amp;Q16&amp;"*",Sheet1!$A$1:$F$93,5,FALSE)&amp;VLOOKUP("*"&amp;Q16&amp;"*",Sheet1!$A$1:$F$93,6,FALSE)))</f>
        <v/>
      </c>
      <c r="Q17" s="150"/>
      <c r="R17" s="149" t="str">
        <f>IF(ISNA(VLOOKUP("*"&amp;S16&amp;"*",Sheet1!$A$1:$F$93,5,FALSE)),"",IF(VLOOKUP("*"&amp;S16&amp;"*",Sheet1!$A$1:$F$93,5,FALSE)="",MID(VLOOKUP("*"&amp;S16&amp;"*",Sheet1!$A$1:$F$93,4,FALSE),5,8)&amp;VLOOKUP("*"&amp;S16&amp;"*",Sheet1!$A$1:$F$93,6,FALSE),VLOOKUP("*"&amp;S16&amp;"*",Sheet1!$A$1:$F$93,5,FALSE)&amp;VLOOKUP("*"&amp;S16&amp;"*",Sheet1!$A$1:$F$93,6,FALSE)))</f>
        <v/>
      </c>
      <c r="S17" s="150"/>
      <c r="T17" s="149" t="str">
        <f>IF(ISNA(VLOOKUP("*"&amp;U16&amp;"*",Sheet1!$A$1:$F$93,5,FALSE)),"",IF(VLOOKUP("*"&amp;U16&amp;"*",Sheet1!$A$1:$F$93,5,FALSE)="",MID(VLOOKUP("*"&amp;U16&amp;"*",Sheet1!$A$1:$F$93,4,FALSE),5,8)&amp;VLOOKUP("*"&amp;U16&amp;"*",Sheet1!$A$1:$F$93,6,FALSE),VLOOKUP("*"&amp;U16&amp;"*",Sheet1!$A$1:$F$93,5,FALSE)&amp;VLOOKUP("*"&amp;U16&amp;"*",Sheet1!$A$1:$F$93,6,FALSE)))</f>
        <v/>
      </c>
      <c r="U17" s="150"/>
      <c r="Y17" s="31" t="s">
        <v>27</v>
      </c>
      <c r="Z17" s="33" t="s">
        <v>28</v>
      </c>
    </row>
    <row r="18" spans="1:26" ht="18" thickBot="1">
      <c r="A18" s="111"/>
      <c r="B18" s="112"/>
      <c r="C18" s="113"/>
      <c r="D18" s="114"/>
      <c r="E18" s="115"/>
      <c r="F18" s="114"/>
      <c r="G18" s="115"/>
      <c r="H18" s="114"/>
      <c r="I18" s="115"/>
      <c r="J18" s="116"/>
      <c r="K18" s="9"/>
      <c r="L18" s="117" t="s">
        <v>4</v>
      </c>
      <c r="M18" s="118"/>
      <c r="N18" s="119" t="s">
        <v>4</v>
      </c>
      <c r="O18" s="118"/>
      <c r="P18" s="120" t="s">
        <v>1</v>
      </c>
      <c r="Q18" s="118"/>
      <c r="R18" s="93" t="s">
        <v>1</v>
      </c>
      <c r="S18" s="121"/>
      <c r="T18" s="93" t="s">
        <v>1</v>
      </c>
      <c r="U18" s="94"/>
    </row>
    <row r="19" spans="1:26" ht="17.25" thickTop="1" thickBot="1">
      <c r="A19" s="8"/>
      <c r="B19" s="9"/>
      <c r="C19" s="95"/>
      <c r="D19" s="95"/>
      <c r="E19" s="96"/>
      <c r="F19" s="96"/>
      <c r="G19" s="96"/>
      <c r="H19" s="96"/>
      <c r="I19" s="96"/>
      <c r="J19" s="96"/>
      <c r="K19" s="9"/>
      <c r="L19" s="25"/>
      <c r="M19" s="25"/>
      <c r="N19" s="25"/>
      <c r="O19" s="25"/>
      <c r="P19" s="25"/>
      <c r="Q19" s="25"/>
      <c r="R19" s="9"/>
      <c r="S19" s="9"/>
      <c r="T19" s="9"/>
      <c r="U19" s="9"/>
    </row>
    <row r="20" spans="1:26" ht="17.25" thickTop="1">
      <c r="A20" s="97"/>
      <c r="B20" s="98"/>
      <c r="C20" s="99"/>
      <c r="D20" s="100"/>
      <c r="E20" s="101"/>
      <c r="F20" s="102"/>
      <c r="G20" s="99"/>
      <c r="H20" s="102"/>
      <c r="I20" s="99"/>
      <c r="J20" s="103"/>
      <c r="K20" s="27"/>
      <c r="L20" s="104"/>
      <c r="M20" s="105"/>
      <c r="N20" s="106"/>
      <c r="O20" s="107"/>
      <c r="P20" s="108" t="s">
        <v>7</v>
      </c>
      <c r="Q20" s="109"/>
      <c r="R20" s="108" t="s">
        <v>7</v>
      </c>
      <c r="S20" s="109"/>
      <c r="T20" s="108" t="s">
        <v>7</v>
      </c>
      <c r="U20" s="110"/>
    </row>
    <row r="21" spans="1:26" ht="16.5">
      <c r="A21" s="2" t="s">
        <v>4</v>
      </c>
      <c r="B21" s="3" t="s">
        <v>68</v>
      </c>
      <c r="C21" s="4" t="s">
        <v>4</v>
      </c>
      <c r="D21" s="3" t="s">
        <v>69</v>
      </c>
      <c r="E21" s="4" t="s">
        <v>4</v>
      </c>
      <c r="F21" s="3" t="s">
        <v>70</v>
      </c>
      <c r="G21" s="4" t="s">
        <v>4</v>
      </c>
      <c r="H21" s="3" t="s">
        <v>71</v>
      </c>
      <c r="I21" s="4" t="s">
        <v>4</v>
      </c>
      <c r="J21" s="13" t="s">
        <v>72</v>
      </c>
      <c r="K21" s="27"/>
      <c r="L21" s="22" t="s">
        <v>4</v>
      </c>
      <c r="M21" s="16" t="s">
        <v>73</v>
      </c>
      <c r="N21" s="4" t="s">
        <v>4</v>
      </c>
      <c r="O21" s="17" t="s">
        <v>74</v>
      </c>
      <c r="P21" s="26" t="s">
        <v>0</v>
      </c>
      <c r="Q21" s="17" t="s">
        <v>75</v>
      </c>
      <c r="R21" s="26" t="s">
        <v>0</v>
      </c>
      <c r="S21" s="17" t="s">
        <v>76</v>
      </c>
      <c r="T21" s="26" t="s">
        <v>0</v>
      </c>
      <c r="U21" s="29" t="s">
        <v>77</v>
      </c>
    </row>
    <row r="22" spans="1:26" ht="16.5">
      <c r="A22" s="149" t="str">
        <f>IF(ISNA(VLOOKUP("*"&amp;B21&amp;"*",Sheet1!$A$1:$F$93,5,FALSE)),"",IF(VLOOKUP("*"&amp;B21&amp;"*",Sheet1!$A$1:$F$93,5,FALSE)="",MID(VLOOKUP("*"&amp;B21&amp;"*",Sheet1!$A$1:$F$93,4,FALSE),5,8)&amp;VLOOKUP("*"&amp;B21&amp;"*",Sheet1!$A$1:$F$93,6,FALSE),VLOOKUP("*"&amp;B21&amp;"*",Sheet1!$A$1:$F$93,5,FALSE)&amp;VLOOKUP("*"&amp;B21&amp;"*",Sheet1!$A$1:$F$93,6,FALSE)))</f>
        <v/>
      </c>
      <c r="B22" s="150"/>
      <c r="C22" s="149" t="str">
        <f>IF(ISNA(VLOOKUP("*"&amp;D21&amp;"*",Sheet1!$A$1:$F$93,5,FALSE)),"",IF(VLOOKUP("*"&amp;D21&amp;"*",Sheet1!$A$1:$F$93,5,FALSE)="",MID(VLOOKUP("*"&amp;D21&amp;"*",Sheet1!$A$1:$F$93,4,FALSE),5,8)&amp;VLOOKUP("*"&amp;D21&amp;"*",Sheet1!$A$1:$F$93,6,FALSE),VLOOKUP("*"&amp;D21&amp;"*",Sheet1!$A$1:$F$93,5,FALSE)&amp;VLOOKUP("*"&amp;D21&amp;"*",Sheet1!$A$1:$F$93,6,FALSE)))</f>
        <v/>
      </c>
      <c r="D22" s="150"/>
      <c r="E22" s="149" t="str">
        <f>IF(ISNA(VLOOKUP("*"&amp;F21&amp;"*",Sheet1!$A$1:$F$93,5,FALSE)),"",IF(VLOOKUP("*"&amp;F21&amp;"*",Sheet1!$A$1:$F$93,5,FALSE)="",MID(VLOOKUP("*"&amp;F21&amp;"*",Sheet1!$A$1:$F$93,4,FALSE),5,8)&amp;VLOOKUP("*"&amp;F21&amp;"*",Sheet1!$A$1:$F$93,6,FALSE),VLOOKUP("*"&amp;F21&amp;"*",Sheet1!$A$1:$F$93,5,FALSE)&amp;VLOOKUP("*"&amp;F21&amp;"*",Sheet1!$A$1:$F$93,6,FALSE)))</f>
        <v/>
      </c>
      <c r="F22" s="150"/>
      <c r="G22" s="149" t="str">
        <f>IF(ISNA(VLOOKUP("*"&amp;H21&amp;"*",Sheet1!$A$1:$F$93,5,FALSE)),"",IF(VLOOKUP("*"&amp;H21&amp;"*",Sheet1!$A$1:$F$93,5,FALSE)="",MID(VLOOKUP("*"&amp;H21&amp;"*",Sheet1!$A$1:$F$93,4,FALSE),5,8)&amp;VLOOKUP("*"&amp;H21&amp;"*",Sheet1!$A$1:$F$93,6,FALSE),VLOOKUP("*"&amp;H21&amp;"*",Sheet1!$A$1:$F$93,5,FALSE)&amp;VLOOKUP("*"&amp;H21&amp;"*",Sheet1!$A$1:$F$93,6,FALSE)))</f>
        <v/>
      </c>
      <c r="H22" s="150"/>
      <c r="I22" s="149" t="str">
        <f>IF(ISNA(VLOOKUP("*"&amp;J21&amp;"*",Sheet1!$A$1:$F$93,5,FALSE)),"",IF(VLOOKUP("*"&amp;J21&amp;"*",Sheet1!$A$1:$F$93,5,FALSE)="",MID(VLOOKUP("*"&amp;J21&amp;"*",Sheet1!$A$1:$F$93,4,FALSE),5,8)&amp;VLOOKUP("*"&amp;J21&amp;"*",Sheet1!$A$1:$F$93,6,FALSE),VLOOKUP("*"&amp;J21&amp;"*",Sheet1!$A$1:$F$93,5,FALSE)&amp;VLOOKUP("*"&amp;J21&amp;"*",Sheet1!$A$1:$F$93,6,FALSE)))</f>
        <v/>
      </c>
      <c r="J22" s="150"/>
      <c r="K22" s="28"/>
      <c r="L22" s="149" t="str">
        <f>IF(ISNA(VLOOKUP("*"&amp;M21&amp;"*",Sheet1!$A$1:$F$93,5,FALSE)),"",IF(VLOOKUP("*"&amp;M21&amp;"*",Sheet1!$A$1:$F$93,5,FALSE)="",MID(VLOOKUP("*"&amp;M21&amp;"*",Sheet1!$A$1:$F$93,4,FALSE),5,8)&amp;VLOOKUP("*"&amp;M21&amp;"*",Sheet1!$A$1:$F$93,6,FALSE),VLOOKUP("*"&amp;M21&amp;"*",Sheet1!$A$1:$F$93,5,FALSE)&amp;VLOOKUP("*"&amp;M21&amp;"*",Sheet1!$A$1:$F$93,6,FALSE)))</f>
        <v/>
      </c>
      <c r="M22" s="150"/>
      <c r="N22" s="149" t="str">
        <f>IF(ISNA(VLOOKUP("*"&amp;O21&amp;"*",Sheet1!$A$1:$F$93,5,FALSE)),"",IF(VLOOKUP("*"&amp;O21&amp;"*",Sheet1!$A$1:$F$93,5,FALSE)="",MID(VLOOKUP("*"&amp;O21&amp;"*",Sheet1!$A$1:$F$93,4,FALSE),5,8)&amp;VLOOKUP("*"&amp;O21&amp;"*",Sheet1!$A$1:$F$93,6,FALSE),VLOOKUP("*"&amp;O21&amp;"*",Sheet1!$A$1:$F$93,5,FALSE)&amp;VLOOKUP("*"&amp;O21&amp;"*",Sheet1!$A$1:$F$93,6,FALSE)))</f>
        <v/>
      </c>
      <c r="O22" s="150"/>
      <c r="P22" s="149" t="str">
        <f>IF(ISNA(VLOOKUP("*"&amp;Q21&amp;"*",Sheet1!$A$1:$F$93,5,FALSE)),"",IF(VLOOKUP("*"&amp;Q21&amp;"*",Sheet1!$A$1:$F$93,5,FALSE)="",MID(VLOOKUP("*"&amp;Q21&amp;"*",Sheet1!$A$1:$F$93,4,FALSE),5,8)&amp;VLOOKUP("*"&amp;Q21&amp;"*",Sheet1!$A$1:$F$93,6,FALSE),VLOOKUP("*"&amp;Q21&amp;"*",Sheet1!$A$1:$F$93,5,FALSE)&amp;VLOOKUP("*"&amp;Q21&amp;"*",Sheet1!$A$1:$F$93,6,FALSE)))</f>
        <v/>
      </c>
      <c r="Q22" s="150"/>
      <c r="R22" s="149" t="str">
        <f>IF(ISNA(VLOOKUP("*"&amp;S21&amp;"*",Sheet1!$A$1:$F$93,5,FALSE)),"",IF(VLOOKUP("*"&amp;S21&amp;"*",Sheet1!$A$1:$F$93,5,FALSE)="",MID(VLOOKUP("*"&amp;S21&amp;"*",Sheet1!$A$1:$F$93,4,FALSE),5,8)&amp;VLOOKUP("*"&amp;S21&amp;"*",Sheet1!$A$1:$F$93,6,FALSE),VLOOKUP("*"&amp;S21&amp;"*",Sheet1!$A$1:$F$93,5,FALSE)&amp;VLOOKUP("*"&amp;S21&amp;"*",Sheet1!$A$1:$F$93,6,FALSE)))</f>
        <v/>
      </c>
      <c r="S22" s="150"/>
      <c r="T22" s="149" t="str">
        <f>IF(ISNA(VLOOKUP("*"&amp;U21&amp;"*",Sheet1!$A$1:$F$93,5,FALSE)),"",IF(VLOOKUP("*"&amp;U21&amp;"*",Sheet1!$A$1:$F$93,5,FALSE)="",MID(VLOOKUP("*"&amp;U21&amp;"*",Sheet1!$A$1:$F$93,4,FALSE),5,8)&amp;VLOOKUP("*"&amp;U21&amp;"*",Sheet1!$A$1:$F$93,6,FALSE),VLOOKUP("*"&amp;U21&amp;"*",Sheet1!$A$1:$F$93,5,FALSE)&amp;VLOOKUP("*"&amp;U21&amp;"*",Sheet1!$A$1:$F$93,6,FALSE)))</f>
        <v/>
      </c>
      <c r="U22" s="150"/>
    </row>
    <row r="23" spans="1:26" ht="15.75">
      <c r="A23" s="49"/>
      <c r="B23" s="52"/>
      <c r="C23" s="122"/>
      <c r="D23" s="123"/>
      <c r="E23" s="53"/>
      <c r="F23" s="52"/>
      <c r="G23" s="53"/>
      <c r="H23" s="50"/>
      <c r="I23" s="51"/>
      <c r="J23" s="54"/>
      <c r="K23" s="27"/>
      <c r="L23" s="55"/>
      <c r="M23" s="124"/>
      <c r="N23" s="53"/>
      <c r="O23" s="124"/>
      <c r="P23" s="58" t="s">
        <v>1</v>
      </c>
      <c r="Q23" s="59"/>
      <c r="R23" s="58" t="s">
        <v>1</v>
      </c>
      <c r="S23" s="59"/>
      <c r="T23" s="60" t="s">
        <v>1</v>
      </c>
      <c r="U23" s="61"/>
    </row>
    <row r="24" spans="1:26" ht="17.25">
      <c r="A24" s="127"/>
      <c r="B24" s="128"/>
      <c r="C24" s="129"/>
      <c r="D24" s="130"/>
      <c r="E24" s="66"/>
      <c r="F24" s="84"/>
      <c r="G24" s="66"/>
      <c r="H24" s="67"/>
      <c r="I24" s="131"/>
      <c r="J24" s="81"/>
      <c r="K24" s="27"/>
      <c r="L24" s="132"/>
      <c r="M24" s="133"/>
      <c r="N24" s="83"/>
      <c r="O24" s="134"/>
      <c r="P24" s="83"/>
      <c r="Q24" s="134"/>
      <c r="R24" s="83"/>
      <c r="S24" s="134"/>
      <c r="T24" s="125" t="s">
        <v>7</v>
      </c>
      <c r="U24" s="126"/>
    </row>
    <row r="25" spans="1:26" ht="16.5">
      <c r="A25" s="2" t="s">
        <v>4</v>
      </c>
      <c r="B25" s="3" t="s">
        <v>78</v>
      </c>
      <c r="C25" s="4" t="s">
        <v>4</v>
      </c>
      <c r="D25" s="10" t="s">
        <v>79</v>
      </c>
      <c r="E25" s="4" t="s">
        <v>4</v>
      </c>
      <c r="F25" s="10" t="s">
        <v>80</v>
      </c>
      <c r="G25" s="4" t="s">
        <v>4</v>
      </c>
      <c r="H25" s="11" t="s">
        <v>81</v>
      </c>
      <c r="I25" s="18" t="s">
        <v>4</v>
      </c>
      <c r="J25" s="13" t="s">
        <v>82</v>
      </c>
      <c r="K25" s="27"/>
      <c r="L25" s="22" t="s">
        <v>4</v>
      </c>
      <c r="M25" s="19" t="s">
        <v>83</v>
      </c>
      <c r="N25" s="4" t="s">
        <v>4</v>
      </c>
      <c r="O25" s="17" t="s">
        <v>84</v>
      </c>
      <c r="P25" s="4" t="s">
        <v>4</v>
      </c>
      <c r="Q25" s="17" t="s">
        <v>85</v>
      </c>
      <c r="R25" s="4" t="s">
        <v>4</v>
      </c>
      <c r="S25" s="17" t="s">
        <v>86</v>
      </c>
      <c r="T25" s="26" t="s">
        <v>0</v>
      </c>
      <c r="U25" s="29" t="s">
        <v>87</v>
      </c>
    </row>
    <row r="26" spans="1:26" ht="16.5">
      <c r="A26" s="149" t="str">
        <f>IF(ISNA(VLOOKUP("*"&amp;B25&amp;"*",Sheet1!$A$1:$F$93,5,FALSE)),"",IF(VLOOKUP("*"&amp;B25&amp;"*",Sheet1!$A$1:$F$93,5,FALSE)="",MID(VLOOKUP("*"&amp;B25&amp;"*",Sheet1!$A$1:$F$93,4,FALSE),5,8)&amp;VLOOKUP("*"&amp;B25&amp;"*",Sheet1!$A$1:$F$93,6,FALSE),VLOOKUP("*"&amp;B25&amp;"*",Sheet1!$A$1:$F$93,5,FALSE)&amp;VLOOKUP("*"&amp;B25&amp;"*",Sheet1!$A$1:$F$93,6,FALSE)))</f>
        <v/>
      </c>
      <c r="B26" s="150"/>
      <c r="C26" s="149" t="str">
        <f>IF(ISNA(VLOOKUP("*"&amp;D25&amp;"*",Sheet1!$A$1:$F$93,5,FALSE)),"",IF(VLOOKUP("*"&amp;D25&amp;"*",Sheet1!$A$1:$F$93,5,FALSE)="",MID(VLOOKUP("*"&amp;D25&amp;"*",Sheet1!$A$1:$F$93,4,FALSE),5,8)&amp;VLOOKUP("*"&amp;D25&amp;"*",Sheet1!$A$1:$F$93,6,FALSE),VLOOKUP("*"&amp;D25&amp;"*",Sheet1!$A$1:$F$93,5,FALSE)&amp;VLOOKUP("*"&amp;D25&amp;"*",Sheet1!$A$1:$F$93,6,FALSE)))</f>
        <v/>
      </c>
      <c r="D26" s="150"/>
      <c r="E26" s="149" t="str">
        <f>IF(ISNA(VLOOKUP("*"&amp;F25&amp;"*",Sheet1!$A$1:$F$93,5,FALSE)),"",IF(VLOOKUP("*"&amp;F25&amp;"*",Sheet1!$A$1:$F$93,5,FALSE)="",MID(VLOOKUP("*"&amp;F25&amp;"*",Sheet1!$A$1:$F$93,4,FALSE),5,8)&amp;VLOOKUP("*"&amp;F25&amp;"*",Sheet1!$A$1:$F$93,6,FALSE),VLOOKUP("*"&amp;F25&amp;"*",Sheet1!$A$1:$F$93,5,FALSE)&amp;VLOOKUP("*"&amp;F25&amp;"*",Sheet1!$A$1:$F$93,6,FALSE)))</f>
        <v/>
      </c>
      <c r="F26" s="150"/>
      <c r="G26" s="149" t="str">
        <f>IF(ISNA(VLOOKUP("*"&amp;H25&amp;"*",Sheet1!$A$1:$F$93,5,FALSE)),"",IF(VLOOKUP("*"&amp;H25&amp;"*",Sheet1!$A$1:$F$93,5,FALSE)="",MID(VLOOKUP("*"&amp;H25&amp;"*",Sheet1!$A$1:$F$93,4,FALSE),5,8)&amp;VLOOKUP("*"&amp;H25&amp;"*",Sheet1!$A$1:$F$93,6,FALSE),VLOOKUP("*"&amp;H25&amp;"*",Sheet1!$A$1:$F$93,5,FALSE)&amp;VLOOKUP("*"&amp;H25&amp;"*",Sheet1!$A$1:$F$93,6,FALSE)))</f>
        <v/>
      </c>
      <c r="H26" s="150"/>
      <c r="I26" s="149" t="str">
        <f>IF(ISNA(VLOOKUP("*"&amp;J25&amp;"*",Sheet1!$A$1:$F$93,5,FALSE)),"",IF(VLOOKUP("*"&amp;J25&amp;"*",Sheet1!$A$1:$F$93,5,FALSE)="",MID(VLOOKUP("*"&amp;J25&amp;"*",Sheet1!$A$1:$F$93,4,FALSE),5,8)&amp;VLOOKUP("*"&amp;J25&amp;"*",Sheet1!$A$1:$F$93,6,FALSE),VLOOKUP("*"&amp;J25&amp;"*",Sheet1!$A$1:$F$93,5,FALSE)&amp;VLOOKUP("*"&amp;J25&amp;"*",Sheet1!$A$1:$F$93,6,FALSE)))</f>
        <v/>
      </c>
      <c r="J26" s="150"/>
      <c r="K26" s="28"/>
      <c r="L26" s="149" t="str">
        <f>IF(ISNA(VLOOKUP("*"&amp;M25&amp;"*",Sheet1!$A$1:$F$93,5,FALSE)),"",IF(VLOOKUP("*"&amp;M25&amp;"*",Sheet1!$A$1:$F$93,5,FALSE)="",MID(VLOOKUP("*"&amp;M25&amp;"*",Sheet1!$A$1:$F$93,4,FALSE),5,8)&amp;VLOOKUP("*"&amp;M25&amp;"*",Sheet1!$A$1:$F$93,6,FALSE),VLOOKUP("*"&amp;M25&amp;"*",Sheet1!$A$1:$F$93,5,FALSE)&amp;VLOOKUP("*"&amp;M25&amp;"*",Sheet1!$A$1:$F$93,6,FALSE)))</f>
        <v/>
      </c>
      <c r="M26" s="150"/>
      <c r="N26" s="149" t="str">
        <f>IF(ISNA(VLOOKUP("*"&amp;O25&amp;"*",Sheet1!$A$1:$F$93,5,FALSE)),"",IF(VLOOKUP("*"&amp;O25&amp;"*",Sheet1!$A$1:$F$93,5,FALSE)="",MID(VLOOKUP("*"&amp;O25&amp;"*",Sheet1!$A$1:$F$93,4,FALSE),5,8)&amp;VLOOKUP("*"&amp;O25&amp;"*",Sheet1!$A$1:$F$93,6,FALSE),VLOOKUP("*"&amp;O25&amp;"*",Sheet1!$A$1:$F$93,5,FALSE)&amp;VLOOKUP("*"&amp;O25&amp;"*",Sheet1!$A$1:$F$93,6,FALSE)))</f>
        <v/>
      </c>
      <c r="O26" s="150"/>
      <c r="P26" s="149" t="str">
        <f>IF(ISNA(VLOOKUP("*"&amp;Q25&amp;"*",Sheet1!$A$1:$F$93,5,FALSE)),"",IF(VLOOKUP("*"&amp;Q25&amp;"*",Sheet1!$A$1:$F$93,5,FALSE)="",MID(VLOOKUP("*"&amp;Q25&amp;"*",Sheet1!$A$1:$F$93,4,FALSE),5,8)&amp;VLOOKUP("*"&amp;Q25&amp;"*",Sheet1!$A$1:$F$93,6,FALSE),VLOOKUP("*"&amp;Q25&amp;"*",Sheet1!$A$1:$F$93,5,FALSE)&amp;VLOOKUP("*"&amp;Q25&amp;"*",Sheet1!$A$1:$F$93,6,FALSE)))</f>
        <v/>
      </c>
      <c r="Q26" s="150"/>
      <c r="R26" s="149" t="str">
        <f>IF(ISNA(VLOOKUP("*"&amp;S25&amp;"*",Sheet1!$A$1:$F$93,5,FALSE)),"",IF(VLOOKUP("*"&amp;S25&amp;"*",Sheet1!$A$1:$F$93,5,FALSE)="",MID(VLOOKUP("*"&amp;S25&amp;"*",Sheet1!$A$1:$F$93,4,FALSE),5,8)&amp;VLOOKUP("*"&amp;S25&amp;"*",Sheet1!$A$1:$F$93,6,FALSE),VLOOKUP("*"&amp;S25&amp;"*",Sheet1!$A$1:$F$93,5,FALSE)&amp;VLOOKUP("*"&amp;S25&amp;"*",Sheet1!$A$1:$F$93,6,FALSE)))</f>
        <v/>
      </c>
      <c r="S26" s="150"/>
      <c r="T26" s="149" t="str">
        <f>IF(ISNA(VLOOKUP("*"&amp;U25&amp;"*",Sheet1!$A$1:$F$93,5,FALSE)),"",IF(VLOOKUP("*"&amp;U25&amp;"*",Sheet1!$A$1:$F$93,5,FALSE)="",MID(VLOOKUP("*"&amp;U25&amp;"*",Sheet1!$A$1:$F$93,4,FALSE),5,8)&amp;VLOOKUP("*"&amp;U25&amp;"*",Sheet1!$A$1:$F$93,6,FALSE),VLOOKUP("*"&amp;U25&amp;"*",Sheet1!$A$1:$F$93,5,FALSE)&amp;VLOOKUP("*"&amp;U25&amp;"*",Sheet1!$A$1:$F$93,6,FALSE)))</f>
        <v/>
      </c>
      <c r="U26" s="150"/>
    </row>
    <row r="27" spans="1:26" ht="15.75">
      <c r="A27" s="49"/>
      <c r="B27" s="50"/>
      <c r="C27" s="51"/>
      <c r="D27" s="52"/>
      <c r="E27" s="53"/>
      <c r="F27" s="52"/>
      <c r="G27" s="53"/>
      <c r="H27" s="52"/>
      <c r="I27" s="83"/>
      <c r="J27" s="140"/>
      <c r="K27" s="27"/>
      <c r="L27" s="55"/>
      <c r="M27" s="124"/>
      <c r="N27" s="53"/>
      <c r="O27" s="124"/>
      <c r="P27" s="53"/>
      <c r="Q27" s="124"/>
      <c r="R27" s="53"/>
      <c r="S27" s="124"/>
      <c r="T27" s="60" t="s">
        <v>1</v>
      </c>
      <c r="U27" s="61"/>
    </row>
    <row r="28" spans="1:26" ht="17.25">
      <c r="A28" s="135"/>
      <c r="B28" s="128"/>
      <c r="C28" s="79"/>
      <c r="D28" s="84"/>
      <c r="E28" s="66"/>
      <c r="F28" s="84"/>
      <c r="G28" s="66"/>
      <c r="H28" s="136"/>
      <c r="I28" s="137"/>
      <c r="J28" s="138"/>
      <c r="K28" s="27"/>
      <c r="L28" s="132"/>
      <c r="M28" s="133"/>
      <c r="N28" s="83"/>
      <c r="O28" s="134"/>
      <c r="P28" s="83"/>
      <c r="Q28" s="134"/>
      <c r="R28" s="83"/>
      <c r="S28" s="134"/>
      <c r="T28" s="83"/>
      <c r="U28" s="139"/>
    </row>
    <row r="29" spans="1:26" ht="16.5">
      <c r="A29" s="2" t="s">
        <v>4</v>
      </c>
      <c r="B29" s="3" t="s">
        <v>88</v>
      </c>
      <c r="C29" s="4" t="s">
        <v>4</v>
      </c>
      <c r="D29" s="3" t="s">
        <v>89</v>
      </c>
      <c r="E29" s="4" t="s">
        <v>4</v>
      </c>
      <c r="F29" s="10" t="s">
        <v>90</v>
      </c>
      <c r="G29" s="4" t="s">
        <v>4</v>
      </c>
      <c r="H29" s="3" t="s">
        <v>91</v>
      </c>
      <c r="I29" s="4" t="s">
        <v>4</v>
      </c>
      <c r="J29" s="13" t="s">
        <v>92</v>
      </c>
      <c r="K29" s="27"/>
      <c r="L29" s="22" t="s">
        <v>4</v>
      </c>
      <c r="M29" s="20" t="s">
        <v>93</v>
      </c>
      <c r="N29" s="4" t="s">
        <v>4</v>
      </c>
      <c r="O29" s="17" t="s">
        <v>94</v>
      </c>
      <c r="P29" s="4" t="s">
        <v>4</v>
      </c>
      <c r="Q29" s="17" t="s">
        <v>95</v>
      </c>
      <c r="R29" s="4" t="s">
        <v>4</v>
      </c>
      <c r="S29" s="17" t="s">
        <v>96</v>
      </c>
      <c r="T29" s="4" t="s">
        <v>4</v>
      </c>
      <c r="U29" s="29" t="s">
        <v>97</v>
      </c>
    </row>
    <row r="30" spans="1:26" ht="16.5">
      <c r="A30" s="149" t="str">
        <f>IF(ISNA(VLOOKUP("*"&amp;B29&amp;"*",Sheet1!$A$1:$F$93,5,FALSE)),"",IF(VLOOKUP("*"&amp;B29&amp;"*",Sheet1!$A$1:$F$93,5,FALSE)="",MID(VLOOKUP("*"&amp;B29&amp;"*",Sheet1!$A$1:$F$93,4,FALSE),5,8)&amp;VLOOKUP("*"&amp;B29&amp;"*",Sheet1!$A$1:$F$93,6,FALSE),VLOOKUP("*"&amp;B29&amp;"*",Sheet1!$A$1:$F$93,5,FALSE)&amp;VLOOKUP("*"&amp;B29&amp;"*",Sheet1!$A$1:$F$93,6,FALSE)))</f>
        <v/>
      </c>
      <c r="B30" s="150"/>
      <c r="C30" s="149" t="str">
        <f>IF(ISNA(VLOOKUP("*"&amp;D29&amp;"*",Sheet1!$A$1:$F$93,5,FALSE)),"",IF(VLOOKUP("*"&amp;D29&amp;"*",Sheet1!$A$1:$F$93,5,FALSE)="",MID(VLOOKUP("*"&amp;D29&amp;"*",Sheet1!$A$1:$F$93,4,FALSE),5,8)&amp;VLOOKUP("*"&amp;D29&amp;"*",Sheet1!$A$1:$F$93,6,FALSE),VLOOKUP("*"&amp;D29&amp;"*",Sheet1!$A$1:$F$93,5,FALSE)&amp;VLOOKUP("*"&amp;D29&amp;"*",Sheet1!$A$1:$F$93,6,FALSE)))</f>
        <v/>
      </c>
      <c r="D30" s="150"/>
      <c r="E30" s="149" t="str">
        <f>IF(ISNA(VLOOKUP("*"&amp;F29&amp;"*",Sheet1!$A$1:$F$93,5,FALSE)),"",IF(VLOOKUP("*"&amp;F29&amp;"*",Sheet1!$A$1:$F$93,5,FALSE)="",MID(VLOOKUP("*"&amp;F29&amp;"*",Sheet1!$A$1:$F$93,4,FALSE),5,8)&amp;VLOOKUP("*"&amp;F29&amp;"*",Sheet1!$A$1:$F$93,6,FALSE),VLOOKUP("*"&amp;F29&amp;"*",Sheet1!$A$1:$F$93,5,FALSE)&amp;VLOOKUP("*"&amp;F29&amp;"*",Sheet1!$A$1:$F$93,6,FALSE)))</f>
        <v/>
      </c>
      <c r="F30" s="150"/>
      <c r="G30" s="149" t="str">
        <f>IF(ISNA(VLOOKUP("*"&amp;H29&amp;"*",Sheet1!$A$1:$F$93,5,FALSE)),"",IF(VLOOKUP("*"&amp;H29&amp;"*",Sheet1!$A$1:$F$93,5,FALSE)="",MID(VLOOKUP("*"&amp;H29&amp;"*",Sheet1!$A$1:$F$93,4,FALSE),5,8)&amp;VLOOKUP("*"&amp;H29&amp;"*",Sheet1!$A$1:$F$93,6,FALSE),VLOOKUP("*"&amp;H29&amp;"*",Sheet1!$A$1:$F$93,5,FALSE)&amp;VLOOKUP("*"&amp;H29&amp;"*",Sheet1!$A$1:$F$93,6,FALSE)))</f>
        <v/>
      </c>
      <c r="H30" s="150"/>
      <c r="I30" s="149" t="str">
        <f>IF(ISNA(VLOOKUP("*"&amp;J29&amp;"*",Sheet1!$A$1:$F$93,5,FALSE)),"",IF(VLOOKUP("*"&amp;J29&amp;"*",Sheet1!$A$1:$F$93,5,FALSE)="",MID(VLOOKUP("*"&amp;J29&amp;"*",Sheet1!$A$1:$F$93,4,FALSE),5,8)&amp;VLOOKUP("*"&amp;J29&amp;"*",Sheet1!$A$1:$F$93,6,FALSE),VLOOKUP("*"&amp;J29&amp;"*",Sheet1!$A$1:$F$93,5,FALSE)&amp;VLOOKUP("*"&amp;J29&amp;"*",Sheet1!$A$1:$F$93,6,FALSE)))</f>
        <v/>
      </c>
      <c r="J30" s="150"/>
      <c r="K30" s="28"/>
      <c r="L30" s="149" t="str">
        <f>IF(ISNA(VLOOKUP("*"&amp;M29&amp;"*",Sheet1!$A$1:$F$93,5,FALSE)),"",IF(VLOOKUP("*"&amp;M29&amp;"*",Sheet1!$A$1:$F$93,5,FALSE)="",MID(VLOOKUP("*"&amp;M29&amp;"*",Sheet1!$A$1:$F$93,4,FALSE),5,8)&amp;VLOOKUP("*"&amp;M29&amp;"*",Sheet1!$A$1:$F$93,6,FALSE),VLOOKUP("*"&amp;M29&amp;"*",Sheet1!$A$1:$F$93,5,FALSE)&amp;VLOOKUP("*"&amp;M29&amp;"*",Sheet1!$A$1:$F$93,6,FALSE)))</f>
        <v/>
      </c>
      <c r="M30" s="150"/>
      <c r="N30" s="149" t="str">
        <f>IF(ISNA(VLOOKUP("*"&amp;O29&amp;"*",Sheet1!$A$1:$F$93,5,FALSE)),"",IF(VLOOKUP("*"&amp;O29&amp;"*",Sheet1!$A$1:$F$93,5,FALSE)="",MID(VLOOKUP("*"&amp;O29&amp;"*",Sheet1!$A$1:$F$93,4,FALSE),5,8)&amp;VLOOKUP("*"&amp;O29&amp;"*",Sheet1!$A$1:$F$93,6,FALSE),VLOOKUP("*"&amp;O29&amp;"*",Sheet1!$A$1:$F$93,5,FALSE)&amp;VLOOKUP("*"&amp;O29&amp;"*",Sheet1!$A$1:$F$93,6,FALSE)))</f>
        <v/>
      </c>
      <c r="O30" s="150"/>
      <c r="P30" s="149" t="str">
        <f>IF(ISNA(VLOOKUP("*"&amp;Q29&amp;"*",Sheet1!$A$1:$F$93,5,FALSE)),"",IF(VLOOKUP("*"&amp;Q29&amp;"*",Sheet1!$A$1:$F$93,5,FALSE)="",MID(VLOOKUP("*"&amp;Q29&amp;"*",Sheet1!$A$1:$F$93,4,FALSE),5,8)&amp;VLOOKUP("*"&amp;Q29&amp;"*",Sheet1!$A$1:$F$93,6,FALSE),VLOOKUP("*"&amp;Q29&amp;"*",Sheet1!$A$1:$F$93,5,FALSE)&amp;VLOOKUP("*"&amp;Q29&amp;"*",Sheet1!$A$1:$F$93,6,FALSE)))</f>
        <v/>
      </c>
      <c r="Q30" s="150"/>
      <c r="R30" s="149" t="str">
        <f>IF(ISNA(VLOOKUP("*"&amp;S29&amp;"*",Sheet1!$A$1:$F$93,5,FALSE)),"",IF(VLOOKUP("*"&amp;S29&amp;"*",Sheet1!$A$1:$F$93,5,FALSE)="",MID(VLOOKUP("*"&amp;S29&amp;"*",Sheet1!$A$1:$F$93,4,FALSE),5,8)&amp;VLOOKUP("*"&amp;S29&amp;"*",Sheet1!$A$1:$F$93,6,FALSE),VLOOKUP("*"&amp;S29&amp;"*",Sheet1!$A$1:$F$93,5,FALSE)&amp;VLOOKUP("*"&amp;S29&amp;"*",Sheet1!$A$1:$F$93,6,FALSE)))</f>
        <v/>
      </c>
      <c r="S30" s="150"/>
      <c r="T30" s="149" t="str">
        <f>IF(ISNA(VLOOKUP("*"&amp;U29&amp;"*",Sheet1!$A$1:$F$93,5,FALSE)),"",IF(VLOOKUP("*"&amp;U29&amp;"*",Sheet1!$A$1:$F$93,5,FALSE)="",MID(VLOOKUP("*"&amp;U29&amp;"*",Sheet1!$A$1:$F$93,4,FALSE),5,8)&amp;VLOOKUP("*"&amp;U29&amp;"*",Sheet1!$A$1:$F$93,6,FALSE),VLOOKUP("*"&amp;U29&amp;"*",Sheet1!$A$1:$F$93,5,FALSE)&amp;VLOOKUP("*"&amp;U29&amp;"*",Sheet1!$A$1:$F$93,6,FALSE)))</f>
        <v/>
      </c>
      <c r="U30" s="150"/>
    </row>
    <row r="31" spans="1:26" ht="16.5" thickBot="1">
      <c r="A31" s="111"/>
      <c r="B31" s="114"/>
      <c r="C31" s="115"/>
      <c r="D31" s="114"/>
      <c r="E31" s="115"/>
      <c r="F31" s="114"/>
      <c r="G31" s="115"/>
      <c r="H31" s="112"/>
      <c r="I31" s="143"/>
      <c r="J31" s="144"/>
      <c r="K31" s="28"/>
      <c r="L31" s="145"/>
      <c r="M31" s="146"/>
      <c r="N31" s="93"/>
      <c r="O31" s="146"/>
      <c r="P31" s="147"/>
      <c r="Q31" s="146"/>
      <c r="R31" s="147"/>
      <c r="S31" s="146"/>
      <c r="T31" s="93"/>
      <c r="U31" s="148"/>
    </row>
    <row r="32" spans="1:26" ht="15.75" thickTop="1">
      <c r="A32" s="141" t="s">
        <v>2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</row>
  </sheetData>
  <mergeCells count="218">
    <mergeCell ref="A32:U32"/>
    <mergeCell ref="T30:U30"/>
    <mergeCell ref="A31:B31"/>
    <mergeCell ref="C31:D31"/>
    <mergeCell ref="E31:F31"/>
    <mergeCell ref="G31:H31"/>
    <mergeCell ref="I31:J31"/>
    <mergeCell ref="L31:M31"/>
    <mergeCell ref="N31:O31"/>
    <mergeCell ref="P31:Q31"/>
    <mergeCell ref="R31:S31"/>
    <mergeCell ref="T31:U31"/>
    <mergeCell ref="A30:B30"/>
    <mergeCell ref="C30:D30"/>
    <mergeCell ref="E30:F30"/>
    <mergeCell ref="G30:H30"/>
    <mergeCell ref="I30:J30"/>
    <mergeCell ref="L30:M30"/>
    <mergeCell ref="N30:O30"/>
    <mergeCell ref="P30:Q30"/>
    <mergeCell ref="R30:S30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4:U24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2:U22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3:U23"/>
    <mergeCell ref="A22:B22"/>
    <mergeCell ref="C22:D22"/>
    <mergeCell ref="E22:F22"/>
    <mergeCell ref="G22:H22"/>
    <mergeCell ref="I22:J22"/>
    <mergeCell ref="L22:M22"/>
    <mergeCell ref="N22:O22"/>
    <mergeCell ref="P22:Q22"/>
    <mergeCell ref="R22:S22"/>
    <mergeCell ref="T18:U18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L20:M20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P18:Q18"/>
    <mergeCell ref="R18:S18"/>
    <mergeCell ref="T15:U15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T13:U13"/>
    <mergeCell ref="A14:B14"/>
    <mergeCell ref="C14:D14"/>
    <mergeCell ref="E14:F14"/>
    <mergeCell ref="G14:H14"/>
    <mergeCell ref="I14:J14"/>
    <mergeCell ref="L14:M14"/>
    <mergeCell ref="N14:O14"/>
    <mergeCell ref="P14:Q14"/>
    <mergeCell ref="R14:S14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A5:B5"/>
    <mergeCell ref="C5:D5"/>
    <mergeCell ref="E5:F5"/>
    <mergeCell ref="G5:H5"/>
    <mergeCell ref="I5:J5"/>
    <mergeCell ref="L5:M5"/>
    <mergeCell ref="N5:O5"/>
    <mergeCell ref="P5:Q5"/>
    <mergeCell ref="R5:S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</mergeCells>
  <conditionalFormatting sqref="K31 K26 A5:J5 A9:J9 A13:K13 A17:K17 A22:K22 A30:K30">
    <cfRule type="notContainsBlanks" dxfId="10" priority="13">
      <formula>LEN(TRIM(A5))&gt;0</formula>
    </cfRule>
  </conditionalFormatting>
  <conditionalFormatting sqref="L5:U5">
    <cfRule type="notContainsBlanks" dxfId="7" priority="8">
      <formula>LEN(TRIM(L5))&gt;0</formula>
    </cfRule>
  </conditionalFormatting>
  <conditionalFormatting sqref="L9:U9">
    <cfRule type="notContainsBlanks" dxfId="6" priority="7">
      <formula>LEN(TRIM(L9))&gt;0</formula>
    </cfRule>
  </conditionalFormatting>
  <conditionalFormatting sqref="L13:U13">
    <cfRule type="notContainsBlanks" dxfId="5" priority="6">
      <formula>LEN(TRIM(L13))&gt;0</formula>
    </cfRule>
  </conditionalFormatting>
  <conditionalFormatting sqref="L17:U17">
    <cfRule type="notContainsBlanks" dxfId="4" priority="5">
      <formula>LEN(TRIM(L17))&gt;0</formula>
    </cfRule>
  </conditionalFormatting>
  <conditionalFormatting sqref="L22:U22">
    <cfRule type="notContainsBlanks" dxfId="3" priority="4">
      <formula>LEN(TRIM(L22))&gt;0</formula>
    </cfRule>
  </conditionalFormatting>
  <conditionalFormatting sqref="A26:J26">
    <cfRule type="notContainsBlanks" dxfId="2" priority="3">
      <formula>LEN(TRIM(A26))&gt;0</formula>
    </cfRule>
  </conditionalFormatting>
  <conditionalFormatting sqref="L26:U26">
    <cfRule type="notContainsBlanks" dxfId="1" priority="2">
      <formula>LEN(TRIM(L26))&gt;0</formula>
    </cfRule>
  </conditionalFormatting>
  <conditionalFormatting sqref="L30:U30">
    <cfRule type="notContainsBlanks" dxfId="0" priority="1">
      <formula>LEN(TRIM(L30))&gt;0</formula>
    </cfRule>
  </conditionalFormatting>
  <pageMargins left="0.25" right="0.25" top="0.18" bottom="0.28000000000000003" header="0.17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E车间</vt:lpstr>
      <vt:lpstr>Sheet1</vt:lpstr>
      <vt:lpstr>E车间!Print_Area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TOPT</dc:creator>
  <cp:lastModifiedBy>LIU YANG</cp:lastModifiedBy>
  <cp:lastPrinted>2024-08-30T06:42:32Z</cp:lastPrinted>
  <dcterms:created xsi:type="dcterms:W3CDTF">2015-06-05T18:17:00Z</dcterms:created>
  <dcterms:modified xsi:type="dcterms:W3CDTF">2024-08-31T06:52:21Z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5DFD8057F14448D88D3C49B44038D406_12</vt:lpwstr>
  </property>
  <property fmtid="{D5CDD505-2E9C-101B-9397-08002B2CF9AE}" pid="3" name="KSOProductBuildVer">
    <vt:lpwstr>1033-12.2.0.17119</vt:lpwstr>
  </property>
</Properties>
</file>