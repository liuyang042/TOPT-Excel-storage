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走货" sheetId="1" r:id="rId1"/>
  </sheets>
  <definedNames>
    <definedName name="_xlnm._FilterDatabase" localSheetId="0" hidden="1">走货!$A$2:$O$40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<sst xmlns="http://schemas.openxmlformats.org/spreadsheetml/2006/main" count="456" uniqueCount="178">
  <si>
    <t>缸号</t>
    <phoneticPr fontId="2" type="noConversion"/>
  </si>
  <si>
    <t>布号</t>
    <phoneticPr fontId="2" type="noConversion"/>
  </si>
  <si>
    <t>中文色名</t>
    <phoneticPr fontId="2" type="noConversion"/>
  </si>
  <si>
    <t>最新
进度工序</t>
    <phoneticPr fontId="2" type="noConversion"/>
  </si>
  <si>
    <t>下一道
工序</t>
    <phoneticPr fontId="2" type="noConversion"/>
  </si>
  <si>
    <t>订单原因</t>
    <phoneticPr fontId="2" type="noConversion"/>
  </si>
  <si>
    <t>分类</t>
    <phoneticPr fontId="2" type="noConversion"/>
  </si>
  <si>
    <t>最新
进度日期</t>
    <phoneticPr fontId="2" type="noConversion"/>
  </si>
  <si>
    <t>最新进度
工作中心</t>
    <phoneticPr fontId="2" type="noConversion"/>
  </si>
  <si>
    <t>中检
对色结果</t>
    <phoneticPr fontId="2" type="noConversion"/>
  </si>
  <si>
    <t>备注</t>
    <phoneticPr fontId="2" type="noConversion"/>
  </si>
  <si>
    <t>最新进度</t>
    <phoneticPr fontId="2" type="noConversion"/>
  </si>
  <si>
    <t>WIP数</t>
    <phoneticPr fontId="2" type="noConversion"/>
  </si>
  <si>
    <t>进度分类</t>
    <phoneticPr fontId="2" type="noConversion"/>
  </si>
  <si>
    <t>F180收单日期</t>
  </si>
  <si>
    <t>车间跟进结果</t>
    <phoneticPr fontId="2" type="noConversion"/>
  </si>
  <si>
    <t>整 理  走货跟进资料</t>
  </si>
  <si>
    <t>F420</t>
  </si>
  <si>
    <t>合格</t>
  </si>
  <si>
    <t>A31QR order</t>
  </si>
  <si>
    <t>后整理</t>
  </si>
  <si>
    <t>剪毛3完成</t>
  </si>
  <si>
    <t>F441</t>
  </si>
  <si>
    <t>F403</t>
  </si>
  <si>
    <t>加P</t>
  </si>
  <si>
    <t>待半定</t>
  </si>
  <si>
    <t>定型機幹布1完成</t>
  </si>
  <si>
    <t>F180</t>
  </si>
  <si>
    <t>FHOA06</t>
  </si>
  <si>
    <t>待剪毛</t>
  </si>
  <si>
    <t>F530</t>
  </si>
  <si>
    <t>F550</t>
  </si>
  <si>
    <t>FHO</t>
  </si>
  <si>
    <t>待定成品</t>
  </si>
  <si>
    <t/>
  </si>
  <si>
    <t>FHOA10</t>
  </si>
  <si>
    <t>FHOA13</t>
  </si>
  <si>
    <t>成品定型完成</t>
  </si>
  <si>
    <t>A31QR ORDER</t>
  </si>
  <si>
    <t>深灰/MÀU XÁM ĐẬM</t>
  </si>
  <si>
    <t>Stenter drying 1完成</t>
  </si>
  <si>
    <t>白  MÀU TRẮNG</t>
  </si>
  <si>
    <t>Finishing-setting完成</t>
  </si>
  <si>
    <t>FHOA07</t>
  </si>
  <si>
    <t>待出QA</t>
  </si>
  <si>
    <t>黑/MÀU ĐEN</t>
  </si>
  <si>
    <t>F540</t>
  </si>
  <si>
    <t>待过预缩机</t>
  </si>
  <si>
    <t>FSOA01</t>
  </si>
  <si>
    <t>FHOA12</t>
  </si>
  <si>
    <t>ZJ10986A10</t>
  </si>
  <si>
    <t>LAFER抓毛1完成</t>
  </si>
  <si>
    <t>F380</t>
  </si>
  <si>
    <t>待抓毛</t>
  </si>
  <si>
    <t>Pre-shrinkage完成</t>
  </si>
  <si>
    <t>FCOA02</t>
  </si>
  <si>
    <t>FHOA08</t>
  </si>
  <si>
    <t>待干布</t>
  </si>
  <si>
    <t>0006084425A0</t>
  </si>
  <si>
    <t>04月02日走货</t>
  </si>
  <si>
    <t>OJ06827A16</t>
  </si>
  <si>
    <t>淺灰/LIGHT GRAY</t>
  </si>
  <si>
    <t>0006084400A4</t>
  </si>
  <si>
    <t>04月03日走货</t>
  </si>
  <si>
    <t>ZH00063A02</t>
  </si>
  <si>
    <t>定胚過磅完成</t>
  </si>
  <si>
    <t>F002</t>
  </si>
  <si>
    <t>D030</t>
  </si>
  <si>
    <t>定胚</t>
  </si>
  <si>
    <t>待发染</t>
  </si>
  <si>
    <t>0006084668A2</t>
  </si>
  <si>
    <t>04月01日走货</t>
  </si>
  <si>
    <t>ZJ14666A01</t>
  </si>
  <si>
    <t>中灰/DARK GRAY</t>
  </si>
  <si>
    <t>除油機除油完成</t>
  </si>
  <si>
    <t>F020</t>
  </si>
  <si>
    <t>F040</t>
  </si>
  <si>
    <t>FHOA05</t>
  </si>
  <si>
    <t>0006084668A0</t>
  </si>
  <si>
    <t>收單待送胚完成</t>
  </si>
  <si>
    <t>F001</t>
  </si>
  <si>
    <t>待除油干布</t>
  </si>
  <si>
    <t>0006084344A0</t>
  </si>
  <si>
    <t>03月26日走货</t>
  </si>
  <si>
    <t>ZRP0014A02</t>
  </si>
  <si>
    <t>黑/MÀU ÐEN</t>
  </si>
  <si>
    <t>0001427864AE</t>
  </si>
  <si>
    <t>04月02日交货</t>
  </si>
  <si>
    <t>ZJ13554C01</t>
  </si>
  <si>
    <t>花灰</t>
  </si>
  <si>
    <t>0001427864A8</t>
  </si>
  <si>
    <t>ZJ13554A01</t>
  </si>
  <si>
    <t>黑色/ MÀU ĐEN</t>
  </si>
  <si>
    <t>0006084301BE</t>
  </si>
  <si>
    <t>03月24日走货</t>
  </si>
  <si>
    <t>黑/BLACK</t>
  </si>
  <si>
    <t>0006084301B6</t>
  </si>
  <si>
    <t>FHOA09</t>
  </si>
  <si>
    <t>0006084301B3</t>
  </si>
  <si>
    <t>成品定型收單</t>
  </si>
  <si>
    <t>6083002CWR01</t>
  </si>
  <si>
    <t>03月25日交货</t>
  </si>
  <si>
    <t>ZR03466A02</t>
  </si>
  <si>
    <t>FHOA02</t>
  </si>
  <si>
    <t>1427901A1R01</t>
  </si>
  <si>
    <t>03月30日交货</t>
  </si>
  <si>
    <t>ZJ13555A01</t>
  </si>
  <si>
    <t>寶藍XANH HOÀNG GIA</t>
  </si>
  <si>
    <t>FHOA11</t>
  </si>
  <si>
    <t>0006083002CY</t>
  </si>
  <si>
    <t>ZR03463A02</t>
  </si>
  <si>
    <t>淺紫 MAU TIM NHTAT</t>
  </si>
  <si>
    <t>0001429636A0</t>
  </si>
  <si>
    <t>ZA03448A11</t>
  </si>
  <si>
    <t>漂白  THUỐC TẨY</t>
  </si>
  <si>
    <t>0001429548A0</t>
  </si>
  <si>
    <t>ZA03448C01</t>
  </si>
  <si>
    <t>花藍</t>
  </si>
  <si>
    <t>6082603C9R01</t>
  </si>
  <si>
    <t>ZR03463A01</t>
  </si>
  <si>
    <t>淺杏MÀU MƠ NHẠT</t>
  </si>
  <si>
    <t>1426986A4R01</t>
  </si>
  <si>
    <t>白/TRẮNG</t>
  </si>
  <si>
    <t>FCOA01</t>
  </si>
  <si>
    <t>0001427010A4</t>
  </si>
  <si>
    <t>0001426607A9</t>
  </si>
  <si>
    <t>0001426607A8</t>
  </si>
  <si>
    <t>Stenter drying 1收單</t>
  </si>
  <si>
    <t>0006084423A1</t>
  </si>
  <si>
    <t>03月27日走货</t>
  </si>
  <si>
    <t>OJ08349A08</t>
  </si>
  <si>
    <t xml:space="preserve"> 褐色/NATURAL</t>
  </si>
  <si>
    <t>A31 QR ODER</t>
  </si>
  <si>
    <t>0006083971BD</t>
  </si>
  <si>
    <t>03月20日走货</t>
  </si>
  <si>
    <t>OJ08247A07</t>
  </si>
  <si>
    <t>定型机干布完成</t>
  </si>
  <si>
    <t>0006084553A3</t>
  </si>
  <si>
    <t>ZH00050A02</t>
  </si>
  <si>
    <t>烫光1完成</t>
  </si>
  <si>
    <t>F485</t>
  </si>
  <si>
    <t>FLOA01</t>
  </si>
  <si>
    <t>0006084553A2</t>
  </si>
  <si>
    <t>深花灰/ XÁM ĐẬM</t>
  </si>
  <si>
    <t>0006084553A0</t>
  </si>
  <si>
    <t>0006084085A0</t>
  </si>
  <si>
    <t>OJ06827A15</t>
  </si>
  <si>
    <t>0006084135AL</t>
  </si>
  <si>
    <t>0001423524AB</t>
  </si>
  <si>
    <t>03月11日交货</t>
  </si>
  <si>
    <t>ZA03448A10</t>
  </si>
  <si>
    <t>奶色/MÀU KEM</t>
  </si>
  <si>
    <t>0001423511AY</t>
  </si>
  <si>
    <t>03月24日交货</t>
  </si>
  <si>
    <t>6083481BER01</t>
  </si>
  <si>
    <t>03月20日交货</t>
  </si>
  <si>
    <t>ZA03494A03</t>
  </si>
  <si>
    <t>黑色 MAU DEN</t>
  </si>
  <si>
    <t>0006084010AT</t>
  </si>
  <si>
    <t>03月27日交货</t>
  </si>
  <si>
    <t>ZJ12070A02</t>
  </si>
  <si>
    <t>白 MÀU TRẮNG</t>
  </si>
  <si>
    <t>FHOA01</t>
  </si>
  <si>
    <t>0006084010A5</t>
  </si>
  <si>
    <t>0001426679AH</t>
  </si>
  <si>
    <t>灰紅XÁM ĐỎ</t>
  </si>
  <si>
    <t>0001426679AG</t>
  </si>
  <si>
    <t>0001418758C7</t>
  </si>
  <si>
    <t>03月23日交货</t>
  </si>
  <si>
    <t>紫紅 ĐỎ TÍM</t>
  </si>
  <si>
    <t>FBOA03</t>
  </si>
  <si>
    <t>0006082603CN</t>
  </si>
  <si>
    <t>03月31日交货</t>
  </si>
  <si>
    <t>黑 MÀU ĐEN</t>
  </si>
  <si>
    <t>0006082603CD</t>
  </si>
  <si>
    <t>0006082603C3</t>
  </si>
  <si>
    <t>寶藍 MÀU XANH</t>
  </si>
  <si>
    <t>Pre-shrinkageXU TAO TAO收單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</si>
</sst>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i/>
      <sz val="24"/>
      <color theme="1"/>
      <name val="等线"/>
      <family val="3"/>
      <charset val="134"/>
      <scheme val="minor"/>
    </font>
    <font>
      <b/>
      <sz val="12"/>
      <color theme="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14" fontId="0" fillId="0" borderId="0" xfId="0" applyNumberFormat="1"/>
    <xf numFmtId="0" fontId="5" fillId="3" borderId="1" xfId="0" applyNumberFormat="1" applyFont="1" applyFill="1" applyBorder="1"/>
    <xf numFmtId="0" fontId="5" fillId="4" borderId="1" xfId="0" applyNumberFormat="1" applyFont="1" applyFill="1" applyBorder="1"/>
    <xf numFmtId="0" fontId="5" fillId="4" borderId="1" xfId="0" applyNumberFormat="1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164" fontId="5" fillId="4" borderId="1" xfId="1" applyNumberFormat="1" applyFont="1" applyFill="1" applyBorder="1" applyAlignment="1"/>
    <xf numFmtId="14" fontId="5" fillId="4" borderId="1" xfId="0" applyNumberFormat="1" applyFont="1" applyFill="1" applyBorder="1"/>
    <xf numFmtId="0" fontId="0" fillId="5" borderId="2" xfId="0" applyFont="1" applyFill="1" applyBorder="1" applyAlignment="1">
      <alignment vertical="top"/>
    </xf>
    <xf numFmtId="0" fontId="0" fillId="5" borderId="3" xfId="0" applyFont="1" applyFill="1" applyBorder="1" applyAlignment="1">
      <alignment vertical="top"/>
    </xf>
    <xf numFmtId="0" fontId="0" fillId="5" borderId="3" xfId="0" applyNumberFormat="1" applyFont="1" applyFill="1" applyBorder="1"/>
    <xf numFmtId="14" fontId="0" fillId="5" borderId="3" xfId="0" applyNumberFormat="1" applyFont="1" applyFill="1" applyBorder="1"/>
    <xf numFmtId="164" fontId="0" fillId="5" borderId="3" xfId="1" applyNumberFormat="1" applyFont="1" applyFill="1" applyBorder="1" applyAlignment="1"/>
    <xf numFmtId="0" fontId="0" fillId="5" borderId="4" xfId="0" applyNumberFormat="1" applyFont="1" applyFill="1" applyBorder="1"/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0" fillId="0" borderId="3" xfId="0" applyNumberFormat="1" applyFont="1" applyBorder="1"/>
    <xf numFmtId="14" fontId="0" fillId="0" borderId="3" xfId="0" applyNumberFormat="1" applyFont="1" applyBorder="1"/>
    <xf numFmtId="164" fontId="0" fillId="0" borderId="3" xfId="1" applyNumberFormat="1" applyFont="1" applyBorder="1" applyAlignment="1"/>
    <xf numFmtId="0" fontId="0" fillId="0" borderId="4" xfId="0" applyNumberFormat="1" applyFont="1" applyBorder="1"/>
    <xf numFmtId="0" fontId="3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0"/>
  <sheetViews>
    <sheetView tabSelected="1" workbookViewId="0">
      <selection activeCell="D5" sqref="D5"/>
    </sheetView>
  </sheetViews>
  <sheetFormatPr defaultRowHeight="14.25"/>
  <cols>
    <col min="1" max="1" width="14" bestFit="1" customWidth="1"/>
    <col min="2" max="2" width="12.375" bestFit="1" customWidth="1"/>
    <col min="3" max="3" width="11.875" bestFit="1" customWidth="1"/>
    <col min="4" max="4" width="14.125" customWidth="1"/>
    <col min="5" max="5" width="19.375" bestFit="1" customWidth="1"/>
    <col min="6" max="6" width="11" bestFit="1" customWidth="1"/>
    <col min="7" max="7" width="9" bestFit="1" customWidth="1"/>
    <col min="8" max="8" width="11" style="1" bestFit="1" customWidth="1"/>
    <col min="9" max="10" width="11" bestFit="1" customWidth="1"/>
    <col min="11" max="11" width="9.75" bestFit="1" customWidth="1"/>
    <col min="12" max="12" width="14.375" customWidth="1"/>
    <col min="13" max="13" width="7.125" bestFit="1" customWidth="1"/>
    <col min="14" max="14" width="11" bestFit="1" customWidth="1"/>
    <col min="15" max="15" width="15" style="1" bestFit="1" customWidth="1"/>
    <col min="16" max="16" width="13.25" bestFit="1" customWidth="1"/>
  </cols>
  <sheetData>
    <row r="1" spans="1:16" ht="30">
      <c r="A1" s="20" t="str">
        <f ca="1">TEXT(TODAY(),"yyyy-mm-dd") &amp; " " &amp; IF(HOUR(NOW())&lt;12, "上午", "下午")</f>
        <v>2026-03-26 下午</v>
      </c>
      <c r="B1" s="20"/>
      <c r="C1" s="21" t="s">
        <v>16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31.5">
      <c r="A2" s="2" t="s">
        <v>0</v>
      </c>
      <c r="B2" s="2" t="s">
        <v>10</v>
      </c>
      <c r="C2" s="3" t="s">
        <v>1</v>
      </c>
      <c r="D2" s="3" t="s">
        <v>2</v>
      </c>
      <c r="E2" s="3" t="s">
        <v>11</v>
      </c>
      <c r="F2" s="4" t="s">
        <v>3</v>
      </c>
      <c r="G2" s="4" t="s">
        <v>4</v>
      </c>
      <c r="H2" s="5" t="s">
        <v>7</v>
      </c>
      <c r="I2" s="4" t="s">
        <v>8</v>
      </c>
      <c r="J2" s="4" t="s">
        <v>9</v>
      </c>
      <c r="K2" s="6" t="s">
        <v>12</v>
      </c>
      <c r="L2" s="3" t="s">
        <v>5</v>
      </c>
      <c r="M2" s="3" t="s">
        <v>6</v>
      </c>
      <c r="N2" s="3" t="s">
        <v>13</v>
      </c>
      <c r="O2" s="7" t="s">
        <v>14</v>
      </c>
      <c r="P2" s="3" t="s">
        <v>15</v>
      </c>
    </row>
    <row r="3" spans="1:16">
      <c r="A3" s="14" t="s">
        <v>148</v>
      </c>
      <c r="B3" s="15" t="s">
        <v>149</v>
      </c>
      <c r="C3" s="16" t="s">
        <v>150</v>
      </c>
      <c r="D3" s="16" t="s">
        <v>151</v>
      </c>
      <c r="E3" s="16" t="s">
        <v>26</v>
      </c>
      <c r="F3" s="16" t="s">
        <v>27</v>
      </c>
      <c r="G3" s="16" t="s">
        <v>30</v>
      </c>
      <c r="H3" s="17">
        <v>46104</v>
      </c>
      <c r="I3" s="16" t="s">
        <v>49</v>
      </c>
      <c r="J3" s="16" t="s">
        <v>18</v>
      </c>
      <c r="K3" s="18">
        <v>265.5</v>
      </c>
      <c r="L3" s="16">
        <v>0</v>
      </c>
      <c r="M3" s="16" t="s">
        <v>20</v>
      </c>
      <c r="N3" s="16" t="s">
        <v>33</v>
      </c>
      <c r="O3" s="17">
        <v>46104</v>
      </c>
      <c r="P3" s="13"/>
    </row>
    <row r="4" spans="1:16">
      <c r="A4" s="14" t="s">
        <v>154</v>
      </c>
      <c r="B4" s="15" t="s">
        <v>155</v>
      </c>
      <c r="C4" s="16" t="s">
        <v>156</v>
      </c>
      <c r="D4" s="16" t="s">
        <v>157</v>
      </c>
      <c r="E4" s="16" t="s">
        <v>42</v>
      </c>
      <c r="F4" s="16" t="s">
        <v>30</v>
      </c>
      <c r="G4" s="16" t="s">
        <v>46</v>
      </c>
      <c r="H4" s="17">
        <v>46107</v>
      </c>
      <c r="I4" s="16" t="s">
        <v>56</v>
      </c>
      <c r="J4" s="16" t="s">
        <v>18</v>
      </c>
      <c r="K4" s="18">
        <v>1647</v>
      </c>
      <c r="L4" s="16">
        <v>0</v>
      </c>
      <c r="M4" s="16" t="s">
        <v>20</v>
      </c>
      <c r="N4" s="16" t="s">
        <v>47</v>
      </c>
      <c r="O4" s="17">
        <v>46105</v>
      </c>
      <c r="P4" s="19"/>
    </row>
    <row r="5" spans="1:16">
      <c r="A5" s="14" t="s">
        <v>133</v>
      </c>
      <c r="B5" s="15" t="s">
        <v>134</v>
      </c>
      <c r="C5" s="16" t="s">
        <v>135</v>
      </c>
      <c r="D5" s="16" t="s">
        <v>39</v>
      </c>
      <c r="E5" s="16" t="s">
        <v>136</v>
      </c>
      <c r="F5" s="16" t="s">
        <v>27</v>
      </c>
      <c r="G5" s="16" t="s">
        <v>30</v>
      </c>
      <c r="H5" s="17">
        <v>46106</v>
      </c>
      <c r="I5" s="16" t="s">
        <v>36</v>
      </c>
      <c r="J5" s="16" t="s">
        <v>24</v>
      </c>
      <c r="K5" s="18">
        <v>608</v>
      </c>
      <c r="L5" s="16" t="s">
        <v>132</v>
      </c>
      <c r="M5" s="16" t="s">
        <v>20</v>
      </c>
      <c r="N5" s="16" t="s">
        <v>33</v>
      </c>
      <c r="O5" s="17">
        <v>46106</v>
      </c>
      <c r="P5" s="13"/>
    </row>
    <row r="6" spans="1:16">
      <c r="A6" s="8" t="s">
        <v>147</v>
      </c>
      <c r="B6" s="9" t="s">
        <v>134</v>
      </c>
      <c r="C6" s="10" t="s">
        <v>72</v>
      </c>
      <c r="D6" s="10" t="s">
        <v>95</v>
      </c>
      <c r="E6" s="10" t="s">
        <v>26</v>
      </c>
      <c r="F6" s="10" t="s">
        <v>27</v>
      </c>
      <c r="G6" s="10" t="s">
        <v>30</v>
      </c>
      <c r="H6" s="11">
        <v>46106</v>
      </c>
      <c r="I6" s="10" t="s">
        <v>97</v>
      </c>
      <c r="J6" s="10" t="s">
        <v>18</v>
      </c>
      <c r="K6" s="12">
        <v>94.7</v>
      </c>
      <c r="L6" s="10" t="s">
        <v>19</v>
      </c>
      <c r="M6" s="10" t="s">
        <v>20</v>
      </c>
      <c r="N6" s="10" t="s">
        <v>33</v>
      </c>
      <c r="O6" s="11">
        <v>46106</v>
      </c>
      <c r="P6" s="19"/>
    </row>
    <row r="7" spans="1:16">
      <c r="A7" s="8" t="s">
        <v>167</v>
      </c>
      <c r="B7" s="9" t="s">
        <v>168</v>
      </c>
      <c r="C7" s="10" t="s">
        <v>50</v>
      </c>
      <c r="D7" s="10" t="s">
        <v>169</v>
      </c>
      <c r="E7" s="10" t="s">
        <v>51</v>
      </c>
      <c r="F7" s="10" t="s">
        <v>52</v>
      </c>
      <c r="G7" s="10" t="s">
        <v>30</v>
      </c>
      <c r="H7" s="11">
        <v>46106</v>
      </c>
      <c r="I7" s="10" t="s">
        <v>170</v>
      </c>
      <c r="J7" s="10" t="s">
        <v>18</v>
      </c>
      <c r="K7" s="12">
        <v>128.5</v>
      </c>
      <c r="L7" s="10">
        <v>0</v>
      </c>
      <c r="M7" s="10" t="s">
        <v>20</v>
      </c>
      <c r="N7" s="10" t="s">
        <v>33</v>
      </c>
      <c r="O7" s="11">
        <v>46103</v>
      </c>
      <c r="P7" s="13"/>
    </row>
    <row r="8" spans="1:16">
      <c r="A8" s="8" t="s">
        <v>152</v>
      </c>
      <c r="B8" s="9" t="s">
        <v>153</v>
      </c>
      <c r="C8" s="10" t="s">
        <v>150</v>
      </c>
      <c r="D8" s="10" t="s">
        <v>151</v>
      </c>
      <c r="E8" s="10" t="s">
        <v>26</v>
      </c>
      <c r="F8" s="10" t="s">
        <v>27</v>
      </c>
      <c r="G8" s="10" t="s">
        <v>30</v>
      </c>
      <c r="H8" s="11">
        <v>46104</v>
      </c>
      <c r="I8" s="10" t="s">
        <v>49</v>
      </c>
      <c r="J8" s="10" t="s">
        <v>18</v>
      </c>
      <c r="K8" s="12">
        <v>258.5</v>
      </c>
      <c r="L8" s="10">
        <v>0</v>
      </c>
      <c r="M8" s="10" t="s">
        <v>20</v>
      </c>
      <c r="N8" s="10" t="s">
        <v>33</v>
      </c>
      <c r="O8" s="11">
        <v>46104</v>
      </c>
      <c r="P8" s="19"/>
    </row>
    <row r="9" spans="1:16">
      <c r="A9" s="8" t="s">
        <v>164</v>
      </c>
      <c r="B9" s="9" t="s">
        <v>153</v>
      </c>
      <c r="C9" s="10" t="s">
        <v>106</v>
      </c>
      <c r="D9" s="10" t="s">
        <v>165</v>
      </c>
      <c r="E9" s="10" t="s">
        <v>42</v>
      </c>
      <c r="F9" s="10" t="s">
        <v>30</v>
      </c>
      <c r="G9" s="10" t="s">
        <v>46</v>
      </c>
      <c r="H9" s="11">
        <v>46106</v>
      </c>
      <c r="I9" s="10" t="s">
        <v>35</v>
      </c>
      <c r="J9" s="10" t="s">
        <v>18</v>
      </c>
      <c r="K9" s="12">
        <v>120</v>
      </c>
      <c r="L9" s="10">
        <v>0</v>
      </c>
      <c r="M9" s="10" t="s">
        <v>20</v>
      </c>
      <c r="N9" s="10" t="s">
        <v>47</v>
      </c>
      <c r="O9" s="11">
        <v>46103</v>
      </c>
      <c r="P9" s="13"/>
    </row>
    <row r="10" spans="1:16">
      <c r="A10" s="14" t="s">
        <v>166</v>
      </c>
      <c r="B10" s="15" t="s">
        <v>153</v>
      </c>
      <c r="C10" s="16" t="s">
        <v>106</v>
      </c>
      <c r="D10" s="16" t="s">
        <v>92</v>
      </c>
      <c r="E10" s="16" t="s">
        <v>42</v>
      </c>
      <c r="F10" s="16" t="s">
        <v>30</v>
      </c>
      <c r="G10" s="16" t="s">
        <v>46</v>
      </c>
      <c r="H10" s="17">
        <v>46107</v>
      </c>
      <c r="I10" s="16" t="s">
        <v>35</v>
      </c>
      <c r="J10" s="16" t="s">
        <v>18</v>
      </c>
      <c r="K10" s="18">
        <v>122</v>
      </c>
      <c r="L10" s="16">
        <v>0</v>
      </c>
      <c r="M10" s="16" t="s">
        <v>20</v>
      </c>
      <c r="N10" s="16" t="s">
        <v>47</v>
      </c>
      <c r="O10" s="17">
        <v>46103</v>
      </c>
      <c r="P10" s="19"/>
    </row>
    <row r="11" spans="1:16">
      <c r="A11" s="14" t="s">
        <v>93</v>
      </c>
      <c r="B11" s="15" t="s">
        <v>94</v>
      </c>
      <c r="C11" s="16" t="s">
        <v>72</v>
      </c>
      <c r="D11" s="16" t="s">
        <v>95</v>
      </c>
      <c r="E11" s="16" t="s">
        <v>79</v>
      </c>
      <c r="F11" s="16" t="s">
        <v>80</v>
      </c>
      <c r="G11" s="16" t="s">
        <v>75</v>
      </c>
      <c r="H11" s="17">
        <v>46105</v>
      </c>
      <c r="I11" s="16" t="s">
        <v>77</v>
      </c>
      <c r="J11" s="16">
        <v>0</v>
      </c>
      <c r="K11" s="18">
        <v>453</v>
      </c>
      <c r="L11" s="16" t="s">
        <v>19</v>
      </c>
      <c r="M11" s="16" t="s">
        <v>68</v>
      </c>
      <c r="N11" s="16" t="s">
        <v>81</v>
      </c>
      <c r="O11" s="17" t="s">
        <v>34</v>
      </c>
      <c r="P11" s="13"/>
    </row>
    <row r="12" spans="1:16">
      <c r="A12" s="8" t="s">
        <v>96</v>
      </c>
      <c r="B12" s="9" t="s">
        <v>94</v>
      </c>
      <c r="C12" s="10" t="s">
        <v>72</v>
      </c>
      <c r="D12" s="10" t="s">
        <v>95</v>
      </c>
      <c r="E12" s="10" t="s">
        <v>26</v>
      </c>
      <c r="F12" s="10" t="s">
        <v>27</v>
      </c>
      <c r="G12" s="10" t="s">
        <v>30</v>
      </c>
      <c r="H12" s="11">
        <v>46107</v>
      </c>
      <c r="I12" s="10" t="s">
        <v>97</v>
      </c>
      <c r="J12" s="10" t="s">
        <v>18</v>
      </c>
      <c r="K12" s="12">
        <v>484</v>
      </c>
      <c r="L12" s="10" t="s">
        <v>19</v>
      </c>
      <c r="M12" s="10" t="s">
        <v>20</v>
      </c>
      <c r="N12" s="10" t="s">
        <v>33</v>
      </c>
      <c r="O12" s="11">
        <v>46107</v>
      </c>
      <c r="P12" s="19"/>
    </row>
    <row r="13" spans="1:16">
      <c r="A13" s="14" t="s">
        <v>98</v>
      </c>
      <c r="B13" s="15" t="s">
        <v>94</v>
      </c>
      <c r="C13" s="16" t="s">
        <v>72</v>
      </c>
      <c r="D13" s="16" t="s">
        <v>95</v>
      </c>
      <c r="E13" s="16" t="s">
        <v>99</v>
      </c>
      <c r="F13" s="16" t="s">
        <v>30</v>
      </c>
      <c r="G13" s="16" t="s">
        <v>31</v>
      </c>
      <c r="H13" s="17">
        <v>46107</v>
      </c>
      <c r="I13" s="16" t="s">
        <v>97</v>
      </c>
      <c r="J13" s="16" t="s">
        <v>18</v>
      </c>
      <c r="K13" s="18">
        <v>471.5</v>
      </c>
      <c r="L13" s="16" t="s">
        <v>19</v>
      </c>
      <c r="M13" s="16" t="s">
        <v>20</v>
      </c>
      <c r="N13" s="16" t="s">
        <v>33</v>
      </c>
      <c r="O13" s="17">
        <v>46106</v>
      </c>
      <c r="P13" s="13"/>
    </row>
    <row r="14" spans="1:16">
      <c r="A14" s="8" t="s">
        <v>100</v>
      </c>
      <c r="B14" s="9" t="s">
        <v>101</v>
      </c>
      <c r="C14" s="10" t="s">
        <v>102</v>
      </c>
      <c r="D14" s="10" t="s">
        <v>41</v>
      </c>
      <c r="E14" s="10" t="s">
        <v>26</v>
      </c>
      <c r="F14" s="10" t="s">
        <v>27</v>
      </c>
      <c r="G14" s="10" t="s">
        <v>30</v>
      </c>
      <c r="H14" s="11">
        <v>46104</v>
      </c>
      <c r="I14" s="10" t="s">
        <v>103</v>
      </c>
      <c r="J14" s="10" t="s">
        <v>18</v>
      </c>
      <c r="K14" s="12">
        <v>236.5</v>
      </c>
      <c r="L14" s="10" t="s">
        <v>19</v>
      </c>
      <c r="M14" s="10" t="s">
        <v>20</v>
      </c>
      <c r="N14" s="10" t="s">
        <v>33</v>
      </c>
      <c r="O14" s="11">
        <v>46104</v>
      </c>
      <c r="P14" s="19"/>
    </row>
    <row r="15" spans="1:16">
      <c r="A15" s="14" t="s">
        <v>118</v>
      </c>
      <c r="B15" s="15" t="s">
        <v>101</v>
      </c>
      <c r="C15" s="16" t="s">
        <v>119</v>
      </c>
      <c r="D15" s="16" t="s">
        <v>120</v>
      </c>
      <c r="E15" s="16" t="s">
        <v>99</v>
      </c>
      <c r="F15" s="16" t="s">
        <v>30</v>
      </c>
      <c r="G15" s="16" t="s">
        <v>31</v>
      </c>
      <c r="H15" s="17">
        <v>46104</v>
      </c>
      <c r="I15" s="16" t="s">
        <v>43</v>
      </c>
      <c r="J15" s="16" t="s">
        <v>24</v>
      </c>
      <c r="K15" s="18">
        <v>1346.5</v>
      </c>
      <c r="L15" s="16">
        <v>0</v>
      </c>
      <c r="M15" s="16" t="s">
        <v>20</v>
      </c>
      <c r="N15" s="16" t="s">
        <v>33</v>
      </c>
      <c r="O15" s="17" t="s">
        <v>34</v>
      </c>
      <c r="P15" s="13"/>
    </row>
    <row r="16" spans="1:16">
      <c r="A16" s="8" t="s">
        <v>121</v>
      </c>
      <c r="B16" s="9" t="s">
        <v>101</v>
      </c>
      <c r="C16" s="10" t="s">
        <v>106</v>
      </c>
      <c r="D16" s="10" t="s">
        <v>122</v>
      </c>
      <c r="E16" s="10" t="s">
        <v>54</v>
      </c>
      <c r="F16" s="10" t="s">
        <v>46</v>
      </c>
      <c r="G16" s="10" t="s">
        <v>31</v>
      </c>
      <c r="H16" s="11">
        <v>46107</v>
      </c>
      <c r="I16" s="10" t="s">
        <v>123</v>
      </c>
      <c r="J16" s="10" t="s">
        <v>24</v>
      </c>
      <c r="K16" s="12">
        <v>1341</v>
      </c>
      <c r="L16" s="10">
        <v>0</v>
      </c>
      <c r="M16" s="10" t="s">
        <v>20</v>
      </c>
      <c r="N16" s="10" t="s">
        <v>44</v>
      </c>
      <c r="O16" s="11" t="s">
        <v>34</v>
      </c>
      <c r="P16" s="19"/>
    </row>
    <row r="17" spans="1:16">
      <c r="A17" s="8" t="s">
        <v>82</v>
      </c>
      <c r="B17" s="9" t="s">
        <v>83</v>
      </c>
      <c r="C17" s="10" t="s">
        <v>84</v>
      </c>
      <c r="D17" s="10" t="s">
        <v>85</v>
      </c>
      <c r="E17" s="10" t="s">
        <v>40</v>
      </c>
      <c r="F17" s="10" t="s">
        <v>27</v>
      </c>
      <c r="G17" s="10" t="s">
        <v>30</v>
      </c>
      <c r="H17" s="11">
        <v>46106</v>
      </c>
      <c r="I17" s="10" t="s">
        <v>36</v>
      </c>
      <c r="J17" s="10" t="s">
        <v>18</v>
      </c>
      <c r="K17" s="12">
        <v>489.5</v>
      </c>
      <c r="L17" s="10" t="s">
        <v>19</v>
      </c>
      <c r="M17" s="10" t="s">
        <v>20</v>
      </c>
      <c r="N17" s="10" t="s">
        <v>33</v>
      </c>
      <c r="O17" s="11">
        <v>46105</v>
      </c>
      <c r="P17" s="13"/>
    </row>
    <row r="18" spans="1:16">
      <c r="A18" s="8" t="s">
        <v>158</v>
      </c>
      <c r="B18" s="9" t="s">
        <v>159</v>
      </c>
      <c r="C18" s="10" t="s">
        <v>160</v>
      </c>
      <c r="D18" s="10" t="s">
        <v>161</v>
      </c>
      <c r="E18" s="10" t="s">
        <v>26</v>
      </c>
      <c r="F18" s="10" t="s">
        <v>27</v>
      </c>
      <c r="G18" s="10" t="s">
        <v>30</v>
      </c>
      <c r="H18" s="11">
        <v>46106</v>
      </c>
      <c r="I18" s="10" t="s">
        <v>162</v>
      </c>
      <c r="J18" s="10" t="s">
        <v>18</v>
      </c>
      <c r="K18" s="12">
        <v>1428</v>
      </c>
      <c r="L18" s="10" t="s">
        <v>38</v>
      </c>
      <c r="M18" s="10" t="s">
        <v>20</v>
      </c>
      <c r="N18" s="10" t="s">
        <v>33</v>
      </c>
      <c r="O18" s="11">
        <v>46105</v>
      </c>
      <c r="P18" s="19"/>
    </row>
    <row r="19" spans="1:16">
      <c r="A19" s="14" t="s">
        <v>163</v>
      </c>
      <c r="B19" s="15" t="s">
        <v>159</v>
      </c>
      <c r="C19" s="16" t="s">
        <v>160</v>
      </c>
      <c r="D19" s="16" t="s">
        <v>161</v>
      </c>
      <c r="E19" s="16" t="s">
        <v>37</v>
      </c>
      <c r="F19" s="16" t="s">
        <v>30</v>
      </c>
      <c r="G19" s="16" t="s">
        <v>31</v>
      </c>
      <c r="H19" s="17">
        <v>46107</v>
      </c>
      <c r="I19" s="16" t="s">
        <v>28</v>
      </c>
      <c r="J19" s="16" t="s">
        <v>18</v>
      </c>
      <c r="K19" s="18">
        <v>1787.5</v>
      </c>
      <c r="L19" s="16" t="s">
        <v>38</v>
      </c>
      <c r="M19" s="16" t="s">
        <v>20</v>
      </c>
      <c r="N19" s="16" t="s">
        <v>44</v>
      </c>
      <c r="O19" s="17">
        <v>46106</v>
      </c>
      <c r="P19" s="13"/>
    </row>
    <row r="20" spans="1:16">
      <c r="A20" s="8" t="s">
        <v>128</v>
      </c>
      <c r="B20" s="9" t="s">
        <v>129</v>
      </c>
      <c r="C20" s="10" t="s">
        <v>130</v>
      </c>
      <c r="D20" s="10" t="s">
        <v>131</v>
      </c>
      <c r="E20" s="10" t="s">
        <v>40</v>
      </c>
      <c r="F20" s="10" t="s">
        <v>27</v>
      </c>
      <c r="G20" s="10" t="s">
        <v>30</v>
      </c>
      <c r="H20" s="11">
        <v>46107</v>
      </c>
      <c r="I20" s="10" t="s">
        <v>36</v>
      </c>
      <c r="J20" s="10" t="s">
        <v>18</v>
      </c>
      <c r="K20" s="12">
        <v>593</v>
      </c>
      <c r="L20" s="10" t="s">
        <v>132</v>
      </c>
      <c r="M20" s="10" t="s">
        <v>20</v>
      </c>
      <c r="N20" s="10" t="s">
        <v>33</v>
      </c>
      <c r="O20" s="11">
        <v>46106</v>
      </c>
      <c r="P20" s="19"/>
    </row>
    <row r="21" spans="1:16">
      <c r="A21" s="8" t="s">
        <v>137</v>
      </c>
      <c r="B21" s="9" t="s">
        <v>129</v>
      </c>
      <c r="C21" s="10" t="s">
        <v>138</v>
      </c>
      <c r="D21" s="10" t="s">
        <v>45</v>
      </c>
      <c r="E21" s="10" t="s">
        <v>139</v>
      </c>
      <c r="F21" s="10" t="s">
        <v>140</v>
      </c>
      <c r="G21" s="10" t="s">
        <v>17</v>
      </c>
      <c r="H21" s="11">
        <v>46107</v>
      </c>
      <c r="I21" s="10" t="s">
        <v>141</v>
      </c>
      <c r="J21" s="10" t="s">
        <v>18</v>
      </c>
      <c r="K21" s="12">
        <v>1080.5</v>
      </c>
      <c r="L21" s="10" t="s">
        <v>19</v>
      </c>
      <c r="M21" s="10" t="s">
        <v>20</v>
      </c>
      <c r="N21" s="10" t="s">
        <v>29</v>
      </c>
      <c r="O21" s="11" t="s">
        <v>34</v>
      </c>
      <c r="P21" s="13"/>
    </row>
    <row r="22" spans="1:16">
      <c r="A22" s="14" t="s">
        <v>142</v>
      </c>
      <c r="B22" s="15" t="s">
        <v>129</v>
      </c>
      <c r="C22" s="16" t="s">
        <v>138</v>
      </c>
      <c r="D22" s="16" t="s">
        <v>143</v>
      </c>
      <c r="E22" s="16" t="s">
        <v>21</v>
      </c>
      <c r="F22" s="16" t="s">
        <v>22</v>
      </c>
      <c r="G22" s="16" t="s">
        <v>23</v>
      </c>
      <c r="H22" s="17">
        <v>46106</v>
      </c>
      <c r="I22" s="16" t="s">
        <v>48</v>
      </c>
      <c r="J22" s="16" t="s">
        <v>18</v>
      </c>
      <c r="K22" s="18">
        <v>1193.5</v>
      </c>
      <c r="L22" s="16" t="s">
        <v>19</v>
      </c>
      <c r="M22" s="16" t="s">
        <v>20</v>
      </c>
      <c r="N22" s="16" t="s">
        <v>25</v>
      </c>
      <c r="O22" s="17">
        <v>46105</v>
      </c>
      <c r="P22" s="19"/>
    </row>
    <row r="23" spans="1:16">
      <c r="A23" s="8" t="s">
        <v>144</v>
      </c>
      <c r="B23" s="9" t="s">
        <v>129</v>
      </c>
      <c r="C23" s="10" t="s">
        <v>138</v>
      </c>
      <c r="D23" s="10" t="s">
        <v>45</v>
      </c>
      <c r="E23" s="10" t="s">
        <v>26</v>
      </c>
      <c r="F23" s="10" t="s">
        <v>27</v>
      </c>
      <c r="G23" s="10" t="s">
        <v>52</v>
      </c>
      <c r="H23" s="11">
        <v>46106</v>
      </c>
      <c r="I23" s="10" t="s">
        <v>108</v>
      </c>
      <c r="J23" s="10" t="s">
        <v>18</v>
      </c>
      <c r="K23" s="12">
        <v>1654.5</v>
      </c>
      <c r="L23" s="10" t="s">
        <v>19</v>
      </c>
      <c r="M23" s="10" t="s">
        <v>20</v>
      </c>
      <c r="N23" s="10" t="s">
        <v>53</v>
      </c>
      <c r="O23" s="11">
        <v>46106</v>
      </c>
      <c r="P23" s="13"/>
    </row>
    <row r="24" spans="1:16">
      <c r="A24" s="14" t="s">
        <v>145</v>
      </c>
      <c r="B24" s="15" t="s">
        <v>129</v>
      </c>
      <c r="C24" s="16" t="s">
        <v>146</v>
      </c>
      <c r="D24" s="16" t="s">
        <v>122</v>
      </c>
      <c r="E24" s="16" t="s">
        <v>54</v>
      </c>
      <c r="F24" s="16" t="s">
        <v>46</v>
      </c>
      <c r="G24" s="16" t="s">
        <v>31</v>
      </c>
      <c r="H24" s="17">
        <v>46106</v>
      </c>
      <c r="I24" s="16" t="s">
        <v>123</v>
      </c>
      <c r="J24" s="16" t="s">
        <v>18</v>
      </c>
      <c r="K24" s="18">
        <v>233</v>
      </c>
      <c r="L24" s="16">
        <v>0</v>
      </c>
      <c r="M24" s="16" t="s">
        <v>20</v>
      </c>
      <c r="N24" s="16" t="s">
        <v>44</v>
      </c>
      <c r="O24" s="17" t="s">
        <v>34</v>
      </c>
      <c r="P24" s="19"/>
    </row>
    <row r="25" spans="1:16">
      <c r="A25" s="14" t="s">
        <v>104</v>
      </c>
      <c r="B25" s="15" t="s">
        <v>105</v>
      </c>
      <c r="C25" s="16" t="s">
        <v>106</v>
      </c>
      <c r="D25" s="16" t="s">
        <v>107</v>
      </c>
      <c r="E25" s="16" t="s">
        <v>40</v>
      </c>
      <c r="F25" s="16" t="s">
        <v>27</v>
      </c>
      <c r="G25" s="16" t="s">
        <v>30</v>
      </c>
      <c r="H25" s="17">
        <v>46107</v>
      </c>
      <c r="I25" s="16" t="s">
        <v>108</v>
      </c>
      <c r="J25" s="16" t="s">
        <v>24</v>
      </c>
      <c r="K25" s="18">
        <v>104.49</v>
      </c>
      <c r="L25" s="16">
        <v>0</v>
      </c>
      <c r="M25" s="16" t="s">
        <v>20</v>
      </c>
      <c r="N25" s="16" t="s">
        <v>33</v>
      </c>
      <c r="O25" s="17">
        <v>46106</v>
      </c>
      <c r="P25" s="13"/>
    </row>
    <row r="26" spans="1:16">
      <c r="A26" s="8" t="s">
        <v>109</v>
      </c>
      <c r="B26" s="9" t="s">
        <v>105</v>
      </c>
      <c r="C26" s="10" t="s">
        <v>110</v>
      </c>
      <c r="D26" s="10" t="s">
        <v>111</v>
      </c>
      <c r="E26" s="10" t="s">
        <v>26</v>
      </c>
      <c r="F26" s="10" t="s">
        <v>27</v>
      </c>
      <c r="G26" s="10" t="s">
        <v>30</v>
      </c>
      <c r="H26" s="11">
        <v>46106</v>
      </c>
      <c r="I26" s="10" t="s">
        <v>49</v>
      </c>
      <c r="J26" s="10" t="s">
        <v>24</v>
      </c>
      <c r="K26" s="12">
        <v>27.5</v>
      </c>
      <c r="L26" s="10" t="s">
        <v>19</v>
      </c>
      <c r="M26" s="10" t="s">
        <v>20</v>
      </c>
      <c r="N26" s="10" t="s">
        <v>33</v>
      </c>
      <c r="O26" s="11">
        <v>46106</v>
      </c>
      <c r="P26" s="19"/>
    </row>
    <row r="27" spans="1:16">
      <c r="A27" s="14" t="s">
        <v>112</v>
      </c>
      <c r="B27" s="15" t="s">
        <v>105</v>
      </c>
      <c r="C27" s="16" t="s">
        <v>113</v>
      </c>
      <c r="D27" s="16" t="s">
        <v>114</v>
      </c>
      <c r="E27" s="16" t="s">
        <v>26</v>
      </c>
      <c r="F27" s="16" t="s">
        <v>27</v>
      </c>
      <c r="G27" s="16" t="s">
        <v>30</v>
      </c>
      <c r="H27" s="17">
        <v>46105</v>
      </c>
      <c r="I27" s="16" t="s">
        <v>103</v>
      </c>
      <c r="J27" s="16" t="s">
        <v>18</v>
      </c>
      <c r="K27" s="18">
        <v>1849.5</v>
      </c>
      <c r="L27" s="16" t="s">
        <v>19</v>
      </c>
      <c r="M27" s="16" t="s">
        <v>20</v>
      </c>
      <c r="N27" s="16" t="s">
        <v>33</v>
      </c>
      <c r="O27" s="17">
        <v>46105</v>
      </c>
      <c r="P27" s="13"/>
    </row>
    <row r="28" spans="1:16">
      <c r="A28" s="8" t="s">
        <v>115</v>
      </c>
      <c r="B28" s="9" t="s">
        <v>105</v>
      </c>
      <c r="C28" s="10" t="s">
        <v>116</v>
      </c>
      <c r="D28" s="10" t="s">
        <v>117</v>
      </c>
      <c r="E28" s="10" t="s">
        <v>40</v>
      </c>
      <c r="F28" s="10" t="s">
        <v>27</v>
      </c>
      <c r="G28" s="10" t="s">
        <v>30</v>
      </c>
      <c r="H28" s="11">
        <v>46107</v>
      </c>
      <c r="I28" s="10" t="s">
        <v>108</v>
      </c>
      <c r="J28" s="10" t="s">
        <v>18</v>
      </c>
      <c r="K28" s="12">
        <v>48.5</v>
      </c>
      <c r="L28" s="10" t="s">
        <v>19</v>
      </c>
      <c r="M28" s="10" t="s">
        <v>20</v>
      </c>
      <c r="N28" s="10" t="s">
        <v>33</v>
      </c>
      <c r="O28" s="11">
        <v>46106</v>
      </c>
      <c r="P28" s="19"/>
    </row>
    <row r="29" spans="1:16">
      <c r="A29" s="14" t="s">
        <v>124</v>
      </c>
      <c r="B29" s="15" t="s">
        <v>105</v>
      </c>
      <c r="C29" s="16" t="s">
        <v>91</v>
      </c>
      <c r="D29" s="16" t="s">
        <v>92</v>
      </c>
      <c r="E29" s="16" t="s">
        <v>42</v>
      </c>
      <c r="F29" s="16" t="s">
        <v>30</v>
      </c>
      <c r="G29" s="16" t="s">
        <v>46</v>
      </c>
      <c r="H29" s="17">
        <v>46106</v>
      </c>
      <c r="I29" s="16" t="s">
        <v>35</v>
      </c>
      <c r="J29" s="16" t="s">
        <v>18</v>
      </c>
      <c r="K29" s="18">
        <v>502</v>
      </c>
      <c r="L29" s="16">
        <v>0</v>
      </c>
      <c r="M29" s="16" t="s">
        <v>20</v>
      </c>
      <c r="N29" s="16" t="s">
        <v>47</v>
      </c>
      <c r="O29" s="17">
        <v>46104</v>
      </c>
      <c r="P29" s="13"/>
    </row>
    <row r="30" spans="1:16">
      <c r="A30" s="8" t="s">
        <v>125</v>
      </c>
      <c r="B30" s="9" t="s">
        <v>105</v>
      </c>
      <c r="C30" s="10" t="s">
        <v>91</v>
      </c>
      <c r="D30" s="10" t="s">
        <v>92</v>
      </c>
      <c r="E30" s="10" t="s">
        <v>42</v>
      </c>
      <c r="F30" s="10" t="s">
        <v>30</v>
      </c>
      <c r="G30" s="10" t="s">
        <v>46</v>
      </c>
      <c r="H30" s="11">
        <v>46106</v>
      </c>
      <c r="I30" s="10" t="s">
        <v>35</v>
      </c>
      <c r="J30" s="10" t="s">
        <v>18</v>
      </c>
      <c r="K30" s="12">
        <v>930</v>
      </c>
      <c r="L30" s="10">
        <v>0</v>
      </c>
      <c r="M30" s="10" t="s">
        <v>20</v>
      </c>
      <c r="N30" s="10" t="s">
        <v>47</v>
      </c>
      <c r="O30" s="11">
        <v>46104</v>
      </c>
      <c r="P30" s="19"/>
    </row>
    <row r="31" spans="1:16">
      <c r="A31" s="14" t="s">
        <v>126</v>
      </c>
      <c r="B31" s="15" t="s">
        <v>105</v>
      </c>
      <c r="C31" s="16" t="s">
        <v>91</v>
      </c>
      <c r="D31" s="16" t="s">
        <v>92</v>
      </c>
      <c r="E31" s="16" t="s">
        <v>127</v>
      </c>
      <c r="F31" s="16" t="s">
        <v>27</v>
      </c>
      <c r="G31" s="16" t="s">
        <v>30</v>
      </c>
      <c r="H31" s="17">
        <v>46107</v>
      </c>
      <c r="I31" s="16" t="s">
        <v>32</v>
      </c>
      <c r="J31" s="16" t="s">
        <v>18</v>
      </c>
      <c r="K31" s="18">
        <v>284</v>
      </c>
      <c r="L31" s="16">
        <v>0</v>
      </c>
      <c r="M31" s="16" t="s">
        <v>20</v>
      </c>
      <c r="N31" s="16" t="s">
        <v>57</v>
      </c>
      <c r="O31" s="17">
        <v>46107</v>
      </c>
      <c r="P31" s="13"/>
    </row>
    <row r="32" spans="1:16">
      <c r="A32" s="14" t="s">
        <v>171</v>
      </c>
      <c r="B32" s="15" t="s">
        <v>172</v>
      </c>
      <c r="C32" s="16" t="s">
        <v>119</v>
      </c>
      <c r="D32" s="16" t="s">
        <v>173</v>
      </c>
      <c r="E32" s="16" t="s">
        <v>37</v>
      </c>
      <c r="F32" s="16" t="s">
        <v>30</v>
      </c>
      <c r="G32" s="16" t="s">
        <v>46</v>
      </c>
      <c r="H32" s="17">
        <v>46106</v>
      </c>
      <c r="I32" s="16" t="s">
        <v>56</v>
      </c>
      <c r="J32" s="16" t="s">
        <v>18</v>
      </c>
      <c r="K32" s="18">
        <v>1091</v>
      </c>
      <c r="L32" s="16">
        <v>0</v>
      </c>
      <c r="M32" s="16" t="s">
        <v>20</v>
      </c>
      <c r="N32" s="16" t="s">
        <v>47</v>
      </c>
      <c r="O32" s="17">
        <v>46104</v>
      </c>
      <c r="P32" s="19"/>
    </row>
    <row r="33" spans="1:16">
      <c r="A33" s="8" t="s">
        <v>174</v>
      </c>
      <c r="B33" s="9" t="s">
        <v>172</v>
      </c>
      <c r="C33" s="10" t="s">
        <v>119</v>
      </c>
      <c r="D33" s="10" t="s">
        <v>173</v>
      </c>
      <c r="E33" s="10" t="s">
        <v>37</v>
      </c>
      <c r="F33" s="10" t="s">
        <v>30</v>
      </c>
      <c r="G33" s="10" t="s">
        <v>46</v>
      </c>
      <c r="H33" s="11">
        <v>46106</v>
      </c>
      <c r="I33" s="10" t="s">
        <v>56</v>
      </c>
      <c r="J33" s="10" t="s">
        <v>18</v>
      </c>
      <c r="K33" s="12">
        <v>1444</v>
      </c>
      <c r="L33" s="10">
        <v>0</v>
      </c>
      <c r="M33" s="10" t="s">
        <v>20</v>
      </c>
      <c r="N33" s="10" t="s">
        <v>47</v>
      </c>
      <c r="O33" s="11">
        <v>46104</v>
      </c>
      <c r="P33" s="13"/>
    </row>
    <row r="34" spans="1:16">
      <c r="A34" s="14" t="s">
        <v>175</v>
      </c>
      <c r="B34" s="15" t="s">
        <v>172</v>
      </c>
      <c r="C34" s="16" t="s">
        <v>119</v>
      </c>
      <c r="D34" s="16" t="s">
        <v>176</v>
      </c>
      <c r="E34" s="16" t="s">
        <v>177</v>
      </c>
      <c r="F34" s="16" t="s">
        <v>46</v>
      </c>
      <c r="G34" s="16" t="s">
        <v>31</v>
      </c>
      <c r="H34" s="17">
        <v>46107</v>
      </c>
      <c r="I34" s="16" t="s">
        <v>55</v>
      </c>
      <c r="J34" s="16" t="s">
        <v>18</v>
      </c>
      <c r="K34" s="18">
        <v>1804.5</v>
      </c>
      <c r="L34" s="16">
        <v>0</v>
      </c>
      <c r="M34" s="16" t="s">
        <v>20</v>
      </c>
      <c r="N34" s="16" t="s">
        <v>47</v>
      </c>
      <c r="O34" s="17">
        <v>46104</v>
      </c>
      <c r="P34" s="19"/>
    </row>
    <row r="35" spans="1:16">
      <c r="A35" s="8" t="s">
        <v>70</v>
      </c>
      <c r="B35" s="9" t="s">
        <v>71</v>
      </c>
      <c r="C35" s="10" t="s">
        <v>72</v>
      </c>
      <c r="D35" s="10" t="s">
        <v>73</v>
      </c>
      <c r="E35" s="10" t="s">
        <v>74</v>
      </c>
      <c r="F35" s="10" t="s">
        <v>75</v>
      </c>
      <c r="G35" s="10" t="s">
        <v>76</v>
      </c>
      <c r="H35" s="11">
        <v>46106</v>
      </c>
      <c r="I35" s="10" t="s">
        <v>77</v>
      </c>
      <c r="J35" s="10">
        <v>0</v>
      </c>
      <c r="K35" s="12">
        <v>182</v>
      </c>
      <c r="L35" s="10" t="s">
        <v>19</v>
      </c>
      <c r="M35" s="10" t="s">
        <v>68</v>
      </c>
      <c r="N35" s="10" t="s">
        <v>57</v>
      </c>
      <c r="O35" s="11" t="s">
        <v>34</v>
      </c>
      <c r="P35" s="13"/>
    </row>
    <row r="36" spans="1:16">
      <c r="A36" s="14" t="s">
        <v>78</v>
      </c>
      <c r="B36" s="15" t="s">
        <v>71</v>
      </c>
      <c r="C36" s="16" t="s">
        <v>72</v>
      </c>
      <c r="D36" s="16" t="s">
        <v>73</v>
      </c>
      <c r="E36" s="16" t="s">
        <v>79</v>
      </c>
      <c r="F36" s="16" t="s">
        <v>80</v>
      </c>
      <c r="G36" s="16" t="s">
        <v>75</v>
      </c>
      <c r="H36" s="17">
        <v>46106</v>
      </c>
      <c r="I36" s="16" t="s">
        <v>77</v>
      </c>
      <c r="J36" s="16">
        <v>0</v>
      </c>
      <c r="K36" s="18">
        <v>121</v>
      </c>
      <c r="L36" s="16" t="s">
        <v>19</v>
      </c>
      <c r="M36" s="16" t="s">
        <v>68</v>
      </c>
      <c r="N36" s="16" t="s">
        <v>81</v>
      </c>
      <c r="O36" s="17" t="s">
        <v>34</v>
      </c>
      <c r="P36" s="19"/>
    </row>
    <row r="37" spans="1:16">
      <c r="A37" s="14" t="s">
        <v>86</v>
      </c>
      <c r="B37" s="15" t="s">
        <v>87</v>
      </c>
      <c r="C37" s="16" t="s">
        <v>88</v>
      </c>
      <c r="D37" s="16" t="s">
        <v>89</v>
      </c>
      <c r="E37" s="16" t="s">
        <v>42</v>
      </c>
      <c r="F37" s="16" t="s">
        <v>30</v>
      </c>
      <c r="G37" s="16" t="s">
        <v>46</v>
      </c>
      <c r="H37" s="17">
        <v>46106</v>
      </c>
      <c r="I37" s="16" t="s">
        <v>35</v>
      </c>
      <c r="J37" s="16" t="s">
        <v>18</v>
      </c>
      <c r="K37" s="18">
        <v>81</v>
      </c>
      <c r="L37" s="16">
        <v>0</v>
      </c>
      <c r="M37" s="16" t="s">
        <v>20</v>
      </c>
      <c r="N37" s="16" t="s">
        <v>47</v>
      </c>
      <c r="O37" s="17">
        <v>46104</v>
      </c>
      <c r="P37" s="13"/>
    </row>
    <row r="38" spans="1:16">
      <c r="A38" s="8" t="s">
        <v>90</v>
      </c>
      <c r="B38" s="9" t="s">
        <v>87</v>
      </c>
      <c r="C38" s="10" t="s">
        <v>91</v>
      </c>
      <c r="D38" s="10" t="s">
        <v>92</v>
      </c>
      <c r="E38" s="10" t="s">
        <v>42</v>
      </c>
      <c r="F38" s="10" t="s">
        <v>30</v>
      </c>
      <c r="G38" s="10" t="s">
        <v>46</v>
      </c>
      <c r="H38" s="11">
        <v>46106</v>
      </c>
      <c r="I38" s="10" t="s">
        <v>35</v>
      </c>
      <c r="J38" s="10" t="s">
        <v>18</v>
      </c>
      <c r="K38" s="12">
        <v>75</v>
      </c>
      <c r="L38" s="10">
        <v>0</v>
      </c>
      <c r="M38" s="10" t="s">
        <v>20</v>
      </c>
      <c r="N38" s="10" t="s">
        <v>47</v>
      </c>
      <c r="O38" s="11">
        <v>46104</v>
      </c>
      <c r="P38" s="19"/>
    </row>
    <row r="39" spans="1:16">
      <c r="A39" s="8" t="s">
        <v>58</v>
      </c>
      <c r="B39" s="9" t="s">
        <v>59</v>
      </c>
      <c r="C39" s="10" t="s">
        <v>60</v>
      </c>
      <c r="D39" s="10" t="s">
        <v>61</v>
      </c>
      <c r="E39" s="10" t="s">
        <v>40</v>
      </c>
      <c r="F39" s="10" t="s">
        <v>27</v>
      </c>
      <c r="G39" s="10" t="s">
        <v>30</v>
      </c>
      <c r="H39" s="11">
        <v>46104</v>
      </c>
      <c r="I39" s="10" t="s">
        <v>43</v>
      </c>
      <c r="J39" s="10" t="s">
        <v>18</v>
      </c>
      <c r="K39" s="12">
        <v>80</v>
      </c>
      <c r="L39" s="10">
        <v>0</v>
      </c>
      <c r="M39" s="10" t="s">
        <v>20</v>
      </c>
      <c r="N39" s="10" t="s">
        <v>33</v>
      </c>
      <c r="O39" s="11">
        <v>46104</v>
      </c>
      <c r="P39" s="13"/>
    </row>
    <row r="40" spans="1:16">
      <c r="A40" s="14" t="s">
        <v>62</v>
      </c>
      <c r="B40" s="15" t="s">
        <v>63</v>
      </c>
      <c r="C40" s="16" t="s">
        <v>64</v>
      </c>
      <c r="D40" s="16" t="s">
        <v>45</v>
      </c>
      <c r="E40" s="16" t="s">
        <v>65</v>
      </c>
      <c r="F40" s="16" t="s">
        <v>66</v>
      </c>
      <c r="G40" s="16" t="s">
        <v>67</v>
      </c>
      <c r="H40" s="17">
        <v>46106</v>
      </c>
      <c r="I40" s="16">
        <v>0</v>
      </c>
      <c r="J40" s="16">
        <v>0</v>
      </c>
      <c r="K40" s="18">
        <v>1660</v>
      </c>
      <c r="L40" s="16">
        <v>0</v>
      </c>
      <c r="M40" s="16" t="s">
        <v>68</v>
      </c>
      <c r="N40" s="16" t="s">
        <v>69</v>
      </c>
      <c r="O40" s="17" t="s">
        <v>34</v>
      </c>
      <c r="P40" s="19"/>
    </row>
  </sheetData>
  <autoFilter ref="A2:O40">
    <sortState ref="A3:P40">
      <sortCondition ref="B2:B40"/>
    </sortState>
  </autoFilter>
  <mergeCells count="2">
    <mergeCell ref="A1:B1"/>
    <mergeCell ref="C1:P1"/>
  </mergeCells>
  <phoneticPr fontId="2" type="noConversion"/>
  <pageMargins left="0" right="0" top="0" bottom="0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走货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2026-03-26T06:12:41Z</dcterms:modified>
</cp:coreProperties>
</file>