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PP+头缸" sheetId="1" r:id="rId1"/>
  </sheets>
  <definedNames>
    <definedName name="_xlnm._FilterDatabase" localSheetId="0" hidden="1">'APP+头缸'!$A$2:$O$11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<sst xmlns="http://schemas.openxmlformats.org/spreadsheetml/2006/main" count="316" uniqueCount="131">
  <si>
    <t>缸号</t>
    <phoneticPr fontId="2" type="noConversion"/>
  </si>
  <si>
    <t>布号</t>
    <phoneticPr fontId="2" type="noConversion"/>
  </si>
  <si>
    <t>中文色名</t>
    <phoneticPr fontId="2" type="noConversion"/>
  </si>
  <si>
    <t>最新
进度工序</t>
    <phoneticPr fontId="2" type="noConversion"/>
  </si>
  <si>
    <t>下一道
工序</t>
    <phoneticPr fontId="2" type="noConversion"/>
  </si>
  <si>
    <t>订单原因</t>
    <phoneticPr fontId="2" type="noConversion"/>
  </si>
  <si>
    <t>分类</t>
    <phoneticPr fontId="2" type="noConversion"/>
  </si>
  <si>
    <t>最新
进度日期</t>
    <phoneticPr fontId="2" type="noConversion"/>
  </si>
  <si>
    <t>最新进度
工作中心</t>
    <phoneticPr fontId="2" type="noConversion"/>
  </si>
  <si>
    <t>中检
对色结果</t>
    <phoneticPr fontId="2" type="noConversion"/>
  </si>
  <si>
    <t>整 理  APP+头缸跟进资料</t>
    <phoneticPr fontId="2" type="noConversion"/>
  </si>
  <si>
    <t>备注</t>
    <phoneticPr fontId="2" type="noConversion"/>
  </si>
  <si>
    <t>最新进度</t>
    <phoneticPr fontId="2" type="noConversion"/>
  </si>
  <si>
    <t>WIP数</t>
    <phoneticPr fontId="2" type="noConversion"/>
  </si>
  <si>
    <t>进度分类</t>
    <phoneticPr fontId="2" type="noConversion"/>
  </si>
  <si>
    <t>F180收单日期</t>
  </si>
  <si>
    <t>车间跟进结果</t>
    <phoneticPr fontId="2" type="noConversion"/>
  </si>
  <si>
    <t>APP</t>
  </si>
  <si>
    <t>Stenter drying 1完成</t>
  </si>
  <si>
    <t>F180</t>
  </si>
  <si>
    <t>F530</t>
  </si>
  <si>
    <t>FHOA12</t>
  </si>
  <si>
    <t>合格</t>
  </si>
  <si>
    <t>后整理</t>
  </si>
  <si>
    <t>待定成品</t>
  </si>
  <si>
    <t>Finishing-setting完成</t>
  </si>
  <si>
    <t>F550</t>
  </si>
  <si>
    <t>FHOA07</t>
  </si>
  <si>
    <t>待出QA</t>
  </si>
  <si>
    <t>定型機幹布1收單</t>
  </si>
  <si>
    <t>FHOA13</t>
  </si>
  <si>
    <t>待干布</t>
  </si>
  <si>
    <t>FHO</t>
  </si>
  <si>
    <t>待分类</t>
  </si>
  <si>
    <t>头缸</t>
  </si>
  <si>
    <t>花灰/MÀU XÁM</t>
  </si>
  <si>
    <t>A31QR order</t>
  </si>
  <si>
    <t>FSOA01</t>
  </si>
  <si>
    <t>6084400A2R11</t>
  </si>
  <si>
    <t>ZH00063A02</t>
  </si>
  <si>
    <t>深花灰/ XÁM ĐẬM</t>
  </si>
  <si>
    <t>剪毛3完成</t>
  </si>
  <si>
    <t>F441</t>
  </si>
  <si>
    <t>F403</t>
  </si>
  <si>
    <t>待半定</t>
  </si>
  <si>
    <t>6084400A5R11</t>
  </si>
  <si>
    <t>深绿/DARK GREEN</t>
  </si>
  <si>
    <t>成品定型完成</t>
  </si>
  <si>
    <t>FHOA08</t>
  </si>
  <si>
    <t>0001429550A0</t>
  </si>
  <si>
    <t>頭缸</t>
  </si>
  <si>
    <t>ZA03448A10</t>
  </si>
  <si>
    <t>啡色/ NAU</t>
  </si>
  <si>
    <t>DR01</t>
  </si>
  <si>
    <t>0006084400A3</t>
  </si>
  <si>
    <t>黑/MÀU ĐEN</t>
  </si>
  <si>
    <t>0006084400A1</t>
  </si>
  <si>
    <t>宝蓝/NAVY</t>
  </si>
  <si>
    <t>定型機幹布1(干布后退染厂三压水）完成</t>
  </si>
  <si>
    <t>F161</t>
  </si>
  <si>
    <t>FHOA11</t>
  </si>
  <si>
    <t>加P</t>
  </si>
  <si>
    <t>0006084400A0</t>
  </si>
  <si>
    <t>米 白/ TRẮNG</t>
  </si>
  <si>
    <t>FSOA03</t>
  </si>
  <si>
    <t>0006084010AW</t>
  </si>
  <si>
    <t>ZR03466A01</t>
  </si>
  <si>
    <t>白  MÀU TRẮNG</t>
  </si>
  <si>
    <t>定型機幹布1完成</t>
  </si>
  <si>
    <t>FHOA01</t>
  </si>
  <si>
    <t>A31QR ORDER</t>
  </si>
  <si>
    <t>待退染厂</t>
  </si>
  <si>
    <t>0001428267A1</t>
  </si>
  <si>
    <t>OR04498A01</t>
  </si>
  <si>
    <t>深紅ĐỎ THẪM</t>
  </si>
  <si>
    <t>F450</t>
  </si>
  <si>
    <t>FHOA10</t>
  </si>
  <si>
    <t>待抛干</t>
  </si>
  <si>
    <t>0001428267A0</t>
  </si>
  <si>
    <t>黑ĐEN</t>
  </si>
  <si>
    <t>0004176795A1</t>
  </si>
  <si>
    <t>ZJ15037A01</t>
  </si>
  <si>
    <t>F540</t>
  </si>
  <si>
    <t>待过预缩机</t>
  </si>
  <si>
    <t>0004176664A4</t>
  </si>
  <si>
    <t>ZJ14709A01</t>
  </si>
  <si>
    <t>啡色 — MÀU NÂU</t>
  </si>
  <si>
    <t>磨面收單</t>
  </si>
  <si>
    <t>F330</t>
  </si>
  <si>
    <t>FRO</t>
  </si>
  <si>
    <t>待磨毛</t>
  </si>
  <si>
    <t>0004176476A9</t>
  </si>
  <si>
    <t>ZJ13532A05</t>
  </si>
  <si>
    <t>深绿 — XANH LÁ ĐẬM</t>
  </si>
  <si>
    <t>0004176476A7</t>
  </si>
  <si>
    <t>彩藍 — XANH LAM TƯƠI</t>
  </si>
  <si>
    <t>0004176893A5</t>
  </si>
  <si>
    <t>OD03458A01</t>
  </si>
  <si>
    <t>深灰 MÀU XÁM</t>
  </si>
  <si>
    <t>Finishing-setting收單</t>
  </si>
  <si>
    <t>0004176893A3</t>
  </si>
  <si>
    <t>OR06195A01</t>
  </si>
  <si>
    <t>深灰XÁM ĐẬM</t>
  </si>
  <si>
    <t>0004176893A1</t>
  </si>
  <si>
    <t>OJ09107A02</t>
  </si>
  <si>
    <t>深灰 MAU XÁM</t>
  </si>
  <si>
    <t>0004176990A3</t>
  </si>
  <si>
    <t>ZA03494A03</t>
  </si>
  <si>
    <t>鹅黄色 VÀNG</t>
  </si>
  <si>
    <t>0004176990A6</t>
  </si>
  <si>
    <t>浅灰兰 XÁM NHẠT</t>
  </si>
  <si>
    <t>0004176990A5</t>
  </si>
  <si>
    <t>浅桃红 HỒNG NHẠT</t>
  </si>
  <si>
    <t>0004176990A1</t>
  </si>
  <si>
    <t>棕色 MÀU NÂU</t>
  </si>
  <si>
    <t>0004176990A4</t>
  </si>
  <si>
    <t>浅兰 MÀU XANH NHẠT</t>
  </si>
  <si>
    <t>0004176664A8</t>
  </si>
  <si>
    <t>天藍 — XANH DA TRỜI</t>
  </si>
  <si>
    <t>0004176297A1</t>
  </si>
  <si>
    <t>ZHP0078A03</t>
  </si>
  <si>
    <t>0004176773A6</t>
  </si>
  <si>
    <t>OR06142A02</t>
  </si>
  <si>
    <t>暗綠 MAU DEN</t>
  </si>
  <si>
    <t>0004176757A0</t>
  </si>
  <si>
    <t>淺粉紅 MAU HONG</t>
  </si>
  <si>
    <t>0004176881A3</t>
  </si>
  <si>
    <t>OJ00101A01</t>
  </si>
  <si>
    <t>黑 MÀU ĐEN</t>
  </si>
  <si>
    <t>0004176881A4</t>
  </si>
  <si>
    <t>本色 MÀU 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</si>
</sst>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i/>
      <sz val="24"/>
      <color theme="1"/>
      <name val="等线"/>
      <family val="3"/>
      <charset val="134"/>
      <scheme val="minor"/>
    </font>
    <font>
      <b/>
      <sz val="12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164" fontId="0" fillId="0" borderId="1" xfId="1" applyNumberFormat="1" applyFont="1" applyBorder="1" applyAlignment="1"/>
    <xf numFmtId="0" fontId="5" fillId="3" borderId="1" xfId="0" applyNumberFormat="1" applyFont="1" applyFill="1" applyBorder="1"/>
    <xf numFmtId="0" fontId="5" fillId="4" borderId="1" xfId="0" applyNumberFormat="1" applyFont="1" applyFill="1" applyBorder="1"/>
    <xf numFmtId="0" fontId="5" fillId="4" borderId="1" xfId="0" applyNumberFormat="1" applyFont="1" applyFill="1" applyBorder="1" applyAlignment="1">
      <alignment wrapText="1"/>
    </xf>
    <xf numFmtId="14" fontId="5" fillId="4" borderId="1" xfId="0" applyNumberFormat="1" applyFont="1" applyFill="1" applyBorder="1" applyAlignment="1">
      <alignment wrapText="1"/>
    </xf>
    <xf numFmtId="164" fontId="5" fillId="4" borderId="1" xfId="1" applyNumberFormat="1" applyFont="1" applyFill="1" applyBorder="1" applyAlignment="1"/>
    <xf numFmtId="14" fontId="5" fillId="4" borderId="1" xfId="0" applyNumberFormat="1" applyFont="1" applyFill="1" applyBorder="1"/>
    <xf numFmtId="0" fontId="3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9"/>
  <sheetViews>
    <sheetView tabSelected="1" workbookViewId="0">
      <selection activeCell="J7" sqref="J7"/>
    </sheetView>
  </sheetViews>
  <sheetFormatPr defaultRowHeight="14.25"/>
  <cols>
    <col min="1" max="1" width="13.625" bestFit="1" customWidth="1"/>
    <col min="2" max="2" width="7.125" bestFit="1" customWidth="1"/>
    <col min="3" max="3" width="11.75" bestFit="1" customWidth="1"/>
    <col min="4" max="4" width="21.875" bestFit="1" customWidth="1"/>
    <col min="5" max="5" width="20" customWidth="1"/>
    <col min="6" max="6" width="11.125" bestFit="1" customWidth="1"/>
    <col min="7" max="7" width="9.125" bestFit="1" customWidth="1"/>
    <col min="8" max="8" width="11.125" style="3" bestFit="1" customWidth="1"/>
    <col min="9" max="10" width="11.125" bestFit="1" customWidth="1"/>
    <col min="11" max="11" width="9.75" bestFit="1" customWidth="1"/>
    <col min="12" max="12" width="13.125" bestFit="1" customWidth="1"/>
    <col min="13" max="13" width="7.125" bestFit="1" customWidth="1"/>
    <col min="14" max="14" width="11.125" bestFit="1" customWidth="1"/>
    <col min="15" max="15" width="15.625" style="3" bestFit="1" customWidth="1"/>
    <col min="16" max="16" width="13.25" bestFit="1" customWidth="1"/>
  </cols>
  <sheetData>
    <row r="1" spans="1:16" ht="30">
      <c r="A1" s="11" t="str">
        <f ca="1">TEXT(TODAY(),"yyyy-mm-dd") &amp; " " &amp; IF(HOUR(NOW())&lt;12, "上午", "下午")</f>
        <v>2026-03-26 下午</v>
      </c>
      <c r="B1" s="11"/>
      <c r="C1" s="12" t="s">
        <v>10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31.5">
      <c r="A2" s="5" t="s">
        <v>0</v>
      </c>
      <c r="B2" s="5" t="s">
        <v>11</v>
      </c>
      <c r="C2" s="6" t="s">
        <v>1</v>
      </c>
      <c r="D2" s="6" t="s">
        <v>2</v>
      </c>
      <c r="E2" s="6" t="s">
        <v>12</v>
      </c>
      <c r="F2" s="7" t="s">
        <v>3</v>
      </c>
      <c r="G2" s="7" t="s">
        <v>4</v>
      </c>
      <c r="H2" s="8" t="s">
        <v>7</v>
      </c>
      <c r="I2" s="7" t="s">
        <v>8</v>
      </c>
      <c r="J2" s="7" t="s">
        <v>9</v>
      </c>
      <c r="K2" s="9" t="s">
        <v>13</v>
      </c>
      <c r="L2" s="6" t="s">
        <v>5</v>
      </c>
      <c r="M2" s="6" t="s">
        <v>6</v>
      </c>
      <c r="N2" s="6" t="s">
        <v>14</v>
      </c>
      <c r="O2" s="10" t="s">
        <v>15</v>
      </c>
      <c r="P2" s="6" t="s">
        <v>16</v>
      </c>
    </row>
    <row r="3" spans="1:16">
      <c r="A3" s="1" t="s">
        <v>38</v>
      </c>
      <c r="B3" s="1" t="s">
        <v>34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2">
        <v>46106</v>
      </c>
      <c r="I3" s="1" t="s">
        <v>37</v>
      </c>
      <c r="J3" s="1" t="s">
        <v>22</v>
      </c>
      <c r="K3" s="4">
        <v>281</v>
      </c>
      <c r="L3" s="1">
        <v>0</v>
      </c>
      <c r="M3" s="1" t="s">
        <v>23</v>
      </c>
      <c r="N3" s="1" t="s">
        <v>44</v>
      </c>
      <c r="O3" s="2">
        <v>46104</v>
      </c>
      <c r="P3" s="1"/>
    </row>
    <row r="4" spans="1:16">
      <c r="A4" s="1" t="s">
        <v>45</v>
      </c>
      <c r="B4" s="1" t="s">
        <v>34</v>
      </c>
      <c r="C4" s="1" t="s">
        <v>39</v>
      </c>
      <c r="D4" s="1" t="s">
        <v>46</v>
      </c>
      <c r="E4" s="1" t="s">
        <v>47</v>
      </c>
      <c r="F4" s="1" t="s">
        <v>20</v>
      </c>
      <c r="G4" s="1" t="s">
        <v>26</v>
      </c>
      <c r="H4" s="2">
        <v>46106</v>
      </c>
      <c r="I4" s="1" t="s">
        <v>48</v>
      </c>
      <c r="J4" s="1" t="s">
        <v>22</v>
      </c>
      <c r="K4" s="4">
        <v>240</v>
      </c>
      <c r="L4" s="1">
        <v>0</v>
      </c>
      <c r="M4" s="1" t="s">
        <v>23</v>
      </c>
      <c r="N4" s="1" t="s">
        <v>28</v>
      </c>
      <c r="O4" s="2">
        <v>46103</v>
      </c>
      <c r="P4" s="1"/>
    </row>
    <row r="5" spans="1:16">
      <c r="A5" s="1" t="s">
        <v>49</v>
      </c>
      <c r="B5" s="1" t="s">
        <v>50</v>
      </c>
      <c r="C5" s="1" t="s">
        <v>51</v>
      </c>
      <c r="D5" s="1" t="s">
        <v>52</v>
      </c>
      <c r="E5" s="1" t="s">
        <v>29</v>
      </c>
      <c r="F5" s="1" t="s">
        <v>19</v>
      </c>
      <c r="G5" s="1" t="s">
        <v>53</v>
      </c>
      <c r="H5" s="2">
        <v>46107</v>
      </c>
      <c r="I5" s="1" t="s">
        <v>32</v>
      </c>
      <c r="J5" s="1" t="s">
        <v>22</v>
      </c>
      <c r="K5" s="4">
        <v>1098.5</v>
      </c>
      <c r="L5" s="1" t="s">
        <v>36</v>
      </c>
      <c r="M5" s="1" t="s">
        <v>23</v>
      </c>
      <c r="N5" s="1" t="s">
        <v>31</v>
      </c>
      <c r="O5" s="2">
        <v>46107</v>
      </c>
      <c r="P5" s="1"/>
    </row>
    <row r="6" spans="1:16">
      <c r="A6" s="1" t="s">
        <v>54</v>
      </c>
      <c r="B6" s="1" t="s">
        <v>34</v>
      </c>
      <c r="C6" s="1" t="s">
        <v>39</v>
      </c>
      <c r="D6" s="1" t="s">
        <v>55</v>
      </c>
      <c r="E6" s="1" t="s">
        <v>41</v>
      </c>
      <c r="F6" s="1" t="s">
        <v>42</v>
      </c>
      <c r="G6" s="1" t="s">
        <v>43</v>
      </c>
      <c r="H6" s="2">
        <v>46106</v>
      </c>
      <c r="I6" s="1" t="s">
        <v>37</v>
      </c>
      <c r="J6" s="1" t="s">
        <v>22</v>
      </c>
      <c r="K6" s="4">
        <v>1640.5</v>
      </c>
      <c r="L6" s="1">
        <v>0</v>
      </c>
      <c r="M6" s="1" t="s">
        <v>23</v>
      </c>
      <c r="N6" s="1" t="s">
        <v>44</v>
      </c>
      <c r="O6" s="2">
        <v>46104</v>
      </c>
      <c r="P6" s="1"/>
    </row>
    <row r="7" spans="1:16">
      <c r="A7" s="1" t="s">
        <v>56</v>
      </c>
      <c r="B7" s="1" t="s">
        <v>34</v>
      </c>
      <c r="C7" s="1" t="s">
        <v>39</v>
      </c>
      <c r="D7" s="1" t="s">
        <v>57</v>
      </c>
      <c r="E7" s="1" t="s">
        <v>58</v>
      </c>
      <c r="F7" s="1" t="s">
        <v>19</v>
      </c>
      <c r="G7" s="1" t="s">
        <v>59</v>
      </c>
      <c r="H7" s="2">
        <v>46106</v>
      </c>
      <c r="I7" s="1" t="s">
        <v>60</v>
      </c>
      <c r="J7" s="1" t="s">
        <v>61</v>
      </c>
      <c r="K7" s="4">
        <v>1649</v>
      </c>
      <c r="L7" s="1">
        <v>0</v>
      </c>
      <c r="M7" s="1" t="s">
        <v>23</v>
      </c>
      <c r="N7" s="1" t="s">
        <v>33</v>
      </c>
      <c r="O7" s="2">
        <v>46106</v>
      </c>
      <c r="P7" s="1"/>
    </row>
    <row r="8" spans="1:16">
      <c r="A8" s="1" t="s">
        <v>62</v>
      </c>
      <c r="B8" s="1" t="s">
        <v>34</v>
      </c>
      <c r="C8" s="1" t="s">
        <v>39</v>
      </c>
      <c r="D8" s="1" t="s">
        <v>63</v>
      </c>
      <c r="E8" s="1" t="s">
        <v>41</v>
      </c>
      <c r="F8" s="1" t="s">
        <v>42</v>
      </c>
      <c r="G8" s="1" t="s">
        <v>43</v>
      </c>
      <c r="H8" s="2">
        <v>46106</v>
      </c>
      <c r="I8" s="1" t="s">
        <v>64</v>
      </c>
      <c r="J8" s="1" t="s">
        <v>22</v>
      </c>
      <c r="K8" s="4">
        <v>1785</v>
      </c>
      <c r="L8" s="1">
        <v>0</v>
      </c>
      <c r="M8" s="1" t="s">
        <v>23</v>
      </c>
      <c r="N8" s="1" t="s">
        <v>44</v>
      </c>
      <c r="O8" s="2">
        <v>46102</v>
      </c>
      <c r="P8" s="1"/>
    </row>
    <row r="9" spans="1:16">
      <c r="A9" s="1" t="s">
        <v>65</v>
      </c>
      <c r="B9" s="1" t="s">
        <v>50</v>
      </c>
      <c r="C9" s="1" t="s">
        <v>66</v>
      </c>
      <c r="D9" s="1" t="s">
        <v>67</v>
      </c>
      <c r="E9" s="1" t="s">
        <v>68</v>
      </c>
      <c r="F9" s="1" t="s">
        <v>19</v>
      </c>
      <c r="G9" s="1" t="s">
        <v>53</v>
      </c>
      <c r="H9" s="2">
        <v>46106</v>
      </c>
      <c r="I9" s="1" t="s">
        <v>69</v>
      </c>
      <c r="J9" s="1" t="s">
        <v>22</v>
      </c>
      <c r="K9" s="4">
        <v>1819.5</v>
      </c>
      <c r="L9" s="1" t="s">
        <v>70</v>
      </c>
      <c r="M9" s="1" t="s">
        <v>23</v>
      </c>
      <c r="N9" s="1" t="s">
        <v>71</v>
      </c>
      <c r="O9" s="2">
        <v>46105</v>
      </c>
      <c r="P9" s="1"/>
    </row>
    <row r="10" spans="1:16">
      <c r="A10" s="1" t="s">
        <v>72</v>
      </c>
      <c r="B10" s="1" t="s">
        <v>50</v>
      </c>
      <c r="C10" s="1" t="s">
        <v>73</v>
      </c>
      <c r="D10" s="1" t="s">
        <v>74</v>
      </c>
      <c r="E10" s="1" t="s">
        <v>25</v>
      </c>
      <c r="F10" s="1" t="s">
        <v>20</v>
      </c>
      <c r="G10" s="1" t="s">
        <v>75</v>
      </c>
      <c r="H10" s="2">
        <v>46107</v>
      </c>
      <c r="I10" s="1" t="s">
        <v>76</v>
      </c>
      <c r="J10" s="1" t="s">
        <v>22</v>
      </c>
      <c r="K10" s="4">
        <v>394.5</v>
      </c>
      <c r="L10" s="1">
        <v>0</v>
      </c>
      <c r="M10" s="1" t="s">
        <v>23</v>
      </c>
      <c r="N10" s="1" t="s">
        <v>77</v>
      </c>
      <c r="O10" s="2">
        <v>46106</v>
      </c>
      <c r="P10" s="1"/>
    </row>
    <row r="11" spans="1:16">
      <c r="A11" s="1" t="s">
        <v>78</v>
      </c>
      <c r="B11" s="1" t="s">
        <v>50</v>
      </c>
      <c r="C11" s="1" t="s">
        <v>73</v>
      </c>
      <c r="D11" s="1" t="s">
        <v>79</v>
      </c>
      <c r="E11" s="1" t="s">
        <v>25</v>
      </c>
      <c r="F11" s="1" t="s">
        <v>20</v>
      </c>
      <c r="G11" s="1" t="s">
        <v>75</v>
      </c>
      <c r="H11" s="2">
        <v>46104</v>
      </c>
      <c r="I11" s="1" t="s">
        <v>76</v>
      </c>
      <c r="J11" s="1" t="s">
        <v>22</v>
      </c>
      <c r="K11" s="4">
        <v>384.5</v>
      </c>
      <c r="L11" s="1">
        <v>0</v>
      </c>
      <c r="M11" s="1" t="s">
        <v>23</v>
      </c>
      <c r="N11" s="1" t="s">
        <v>77</v>
      </c>
      <c r="O11" s="2">
        <v>46101</v>
      </c>
      <c r="P11" s="1"/>
    </row>
    <row r="12" spans="1:16">
      <c r="A12" s="1" t="s">
        <v>80</v>
      </c>
      <c r="B12" s="1" t="s">
        <v>17</v>
      </c>
      <c r="C12" s="1" t="s">
        <v>81</v>
      </c>
      <c r="D12" s="1" t="s">
        <v>79</v>
      </c>
      <c r="E12" s="1" t="s">
        <v>25</v>
      </c>
      <c r="F12" s="1" t="s">
        <v>20</v>
      </c>
      <c r="G12" s="1" t="s">
        <v>82</v>
      </c>
      <c r="H12" s="2">
        <v>46106</v>
      </c>
      <c r="I12" s="1" t="s">
        <v>76</v>
      </c>
      <c r="J12" s="1" t="s">
        <v>22</v>
      </c>
      <c r="K12" s="1">
        <v>65.5</v>
      </c>
      <c r="L12" s="1"/>
      <c r="M12" s="1" t="s">
        <v>23</v>
      </c>
      <c r="N12" s="1" t="s">
        <v>83</v>
      </c>
      <c r="O12" s="2">
        <v>46104</v>
      </c>
      <c r="P12" s="1"/>
    </row>
    <row r="13" spans="1:16">
      <c r="A13" s="1" t="s">
        <v>84</v>
      </c>
      <c r="B13" s="1" t="s">
        <v>17</v>
      </c>
      <c r="C13" s="1" t="s">
        <v>85</v>
      </c>
      <c r="D13" s="1" t="s">
        <v>86</v>
      </c>
      <c r="E13" s="1" t="s">
        <v>87</v>
      </c>
      <c r="F13" s="1" t="s">
        <v>88</v>
      </c>
      <c r="G13" s="1" t="s">
        <v>20</v>
      </c>
      <c r="H13" s="2">
        <v>46106</v>
      </c>
      <c r="I13" s="1" t="s">
        <v>89</v>
      </c>
      <c r="J13" s="1" t="s">
        <v>22</v>
      </c>
      <c r="K13" s="1">
        <v>25</v>
      </c>
      <c r="L13" s="1"/>
      <c r="M13" s="1" t="s">
        <v>23</v>
      </c>
      <c r="N13" s="1" t="s">
        <v>90</v>
      </c>
      <c r="O13" s="2">
        <v>46105</v>
      </c>
      <c r="P13" s="1"/>
    </row>
    <row r="14" spans="1:16">
      <c r="A14" s="1" t="s">
        <v>91</v>
      </c>
      <c r="B14" s="1" t="s">
        <v>17</v>
      </c>
      <c r="C14" s="1" t="s">
        <v>92</v>
      </c>
      <c r="D14" s="1" t="s">
        <v>93</v>
      </c>
      <c r="E14" s="1" t="s">
        <v>25</v>
      </c>
      <c r="F14" s="1" t="s">
        <v>20</v>
      </c>
      <c r="G14" s="1" t="s">
        <v>75</v>
      </c>
      <c r="H14" s="2">
        <v>46106</v>
      </c>
      <c r="I14" s="1" t="s">
        <v>76</v>
      </c>
      <c r="J14" s="1" t="s">
        <v>22</v>
      </c>
      <c r="K14" s="1">
        <v>30</v>
      </c>
      <c r="L14" s="1"/>
      <c r="M14" s="1" t="s">
        <v>23</v>
      </c>
      <c r="N14" s="1" t="s">
        <v>77</v>
      </c>
      <c r="O14" s="2">
        <v>46104</v>
      </c>
      <c r="P14" s="1"/>
    </row>
    <row r="15" spans="1:16">
      <c r="A15" s="1" t="s">
        <v>94</v>
      </c>
      <c r="B15" s="1" t="s">
        <v>17</v>
      </c>
      <c r="C15" s="1" t="s">
        <v>92</v>
      </c>
      <c r="D15" s="1" t="s">
        <v>95</v>
      </c>
      <c r="E15" s="1" t="s">
        <v>25</v>
      </c>
      <c r="F15" s="1" t="s">
        <v>20</v>
      </c>
      <c r="G15" s="1" t="s">
        <v>75</v>
      </c>
      <c r="H15" s="2">
        <v>46106</v>
      </c>
      <c r="I15" s="1" t="s">
        <v>76</v>
      </c>
      <c r="J15" s="1" t="s">
        <v>22</v>
      </c>
      <c r="K15" s="1">
        <v>30</v>
      </c>
      <c r="L15" s="1"/>
      <c r="M15" s="1" t="s">
        <v>23</v>
      </c>
      <c r="N15" s="1" t="s">
        <v>77</v>
      </c>
      <c r="O15" s="2">
        <v>46104</v>
      </c>
      <c r="P15" s="1"/>
    </row>
    <row r="16" spans="1:16">
      <c r="A16" s="1" t="s">
        <v>96</v>
      </c>
      <c r="B16" s="1" t="s">
        <v>17</v>
      </c>
      <c r="C16" s="1" t="s">
        <v>97</v>
      </c>
      <c r="D16" s="1" t="s">
        <v>98</v>
      </c>
      <c r="E16" s="1" t="s">
        <v>99</v>
      </c>
      <c r="F16" s="1" t="s">
        <v>20</v>
      </c>
      <c r="G16" s="1" t="s">
        <v>82</v>
      </c>
      <c r="H16" s="2">
        <v>46106</v>
      </c>
      <c r="I16" s="1" t="s">
        <v>32</v>
      </c>
      <c r="J16" s="1" t="s">
        <v>22</v>
      </c>
      <c r="K16" s="1">
        <v>112.5</v>
      </c>
      <c r="L16" s="1"/>
      <c r="M16" s="1" t="s">
        <v>23</v>
      </c>
      <c r="N16" s="1" t="s">
        <v>24</v>
      </c>
      <c r="O16" s="2">
        <v>46105</v>
      </c>
      <c r="P16" s="1"/>
    </row>
    <row r="17" spans="1:16">
      <c r="A17" s="1" t="s">
        <v>100</v>
      </c>
      <c r="B17" s="1" t="s">
        <v>17</v>
      </c>
      <c r="C17" s="1" t="s">
        <v>101</v>
      </c>
      <c r="D17" s="1" t="s">
        <v>102</v>
      </c>
      <c r="E17" s="1" t="s">
        <v>99</v>
      </c>
      <c r="F17" s="1" t="s">
        <v>20</v>
      </c>
      <c r="G17" s="1" t="s">
        <v>82</v>
      </c>
      <c r="H17" s="2">
        <v>46106</v>
      </c>
      <c r="I17" s="1" t="s">
        <v>76</v>
      </c>
      <c r="J17" s="1" t="s">
        <v>22</v>
      </c>
      <c r="K17" s="1">
        <v>123.5</v>
      </c>
      <c r="L17" s="1"/>
      <c r="M17" s="1" t="s">
        <v>23</v>
      </c>
      <c r="N17" s="1" t="s">
        <v>24</v>
      </c>
      <c r="O17" s="2">
        <v>46105</v>
      </c>
      <c r="P17" s="1"/>
    </row>
    <row r="18" spans="1:16">
      <c r="A18" s="1" t="s">
        <v>103</v>
      </c>
      <c r="B18" s="1" t="s">
        <v>17</v>
      </c>
      <c r="C18" s="1" t="s">
        <v>104</v>
      </c>
      <c r="D18" s="1" t="s">
        <v>105</v>
      </c>
      <c r="E18" s="1" t="s">
        <v>99</v>
      </c>
      <c r="F18" s="1" t="s">
        <v>20</v>
      </c>
      <c r="G18" s="1" t="s">
        <v>82</v>
      </c>
      <c r="H18" s="2">
        <v>46106</v>
      </c>
      <c r="I18" s="1" t="s">
        <v>76</v>
      </c>
      <c r="J18" s="1" t="s">
        <v>22</v>
      </c>
      <c r="K18" s="1">
        <v>76</v>
      </c>
      <c r="L18" s="1"/>
      <c r="M18" s="1" t="s">
        <v>23</v>
      </c>
      <c r="N18" s="1" t="s">
        <v>24</v>
      </c>
      <c r="O18" s="2">
        <v>46105</v>
      </c>
      <c r="P18" s="1"/>
    </row>
    <row r="19" spans="1:16">
      <c r="A19" s="1" t="s">
        <v>106</v>
      </c>
      <c r="B19" s="1" t="s">
        <v>17</v>
      </c>
      <c r="C19" s="1" t="s">
        <v>107</v>
      </c>
      <c r="D19" s="1" t="s">
        <v>108</v>
      </c>
      <c r="E19" s="1" t="s">
        <v>99</v>
      </c>
      <c r="F19" s="1" t="s">
        <v>20</v>
      </c>
      <c r="G19" s="1" t="s">
        <v>82</v>
      </c>
      <c r="H19" s="2">
        <v>46106</v>
      </c>
      <c r="I19" s="1" t="s">
        <v>27</v>
      </c>
      <c r="J19" s="1" t="s">
        <v>22</v>
      </c>
      <c r="K19" s="1">
        <v>30</v>
      </c>
      <c r="L19" s="1"/>
      <c r="M19" s="1" t="s">
        <v>23</v>
      </c>
      <c r="N19" s="1" t="s">
        <v>24</v>
      </c>
      <c r="O19" s="2">
        <v>46106</v>
      </c>
      <c r="P19" s="1"/>
    </row>
    <row r="20" spans="1:16">
      <c r="A20" s="1" t="s">
        <v>109</v>
      </c>
      <c r="B20" s="1" t="s">
        <v>17</v>
      </c>
      <c r="C20" s="1" t="s">
        <v>107</v>
      </c>
      <c r="D20" s="1" t="s">
        <v>110</v>
      </c>
      <c r="E20" s="1" t="s">
        <v>99</v>
      </c>
      <c r="F20" s="1" t="s">
        <v>20</v>
      </c>
      <c r="G20" s="1" t="s">
        <v>82</v>
      </c>
      <c r="H20" s="2">
        <v>46106</v>
      </c>
      <c r="I20" s="1" t="s">
        <v>76</v>
      </c>
      <c r="J20" s="1" t="s">
        <v>22</v>
      </c>
      <c r="K20" s="1">
        <v>65.5</v>
      </c>
      <c r="L20" s="1"/>
      <c r="M20" s="1" t="s">
        <v>23</v>
      </c>
      <c r="N20" s="1" t="s">
        <v>24</v>
      </c>
      <c r="O20" s="2">
        <v>46105</v>
      </c>
      <c r="P20" s="1"/>
    </row>
    <row r="21" spans="1:16">
      <c r="A21" s="1" t="s">
        <v>111</v>
      </c>
      <c r="B21" s="1" t="s">
        <v>17</v>
      </c>
      <c r="C21" s="1" t="s">
        <v>107</v>
      </c>
      <c r="D21" s="1" t="s">
        <v>112</v>
      </c>
      <c r="E21" s="1" t="s">
        <v>99</v>
      </c>
      <c r="F21" s="1" t="s">
        <v>20</v>
      </c>
      <c r="G21" s="1" t="s">
        <v>82</v>
      </c>
      <c r="H21" s="2">
        <v>46106</v>
      </c>
      <c r="I21" s="1" t="s">
        <v>27</v>
      </c>
      <c r="J21" s="1" t="s">
        <v>22</v>
      </c>
      <c r="K21" s="1">
        <v>26</v>
      </c>
      <c r="L21" s="1"/>
      <c r="M21" s="1" t="s">
        <v>23</v>
      </c>
      <c r="N21" s="1" t="s">
        <v>24</v>
      </c>
      <c r="O21" s="2">
        <v>46106</v>
      </c>
      <c r="P21" s="1"/>
    </row>
    <row r="22" spans="1:16">
      <c r="A22" s="1" t="s">
        <v>113</v>
      </c>
      <c r="B22" s="1" t="s">
        <v>17</v>
      </c>
      <c r="C22" s="1" t="s">
        <v>107</v>
      </c>
      <c r="D22" s="1" t="s">
        <v>114</v>
      </c>
      <c r="E22" s="1" t="s">
        <v>99</v>
      </c>
      <c r="F22" s="1" t="s">
        <v>20</v>
      </c>
      <c r="G22" s="1" t="s">
        <v>82</v>
      </c>
      <c r="H22" s="2">
        <v>46106</v>
      </c>
      <c r="I22" s="1" t="s">
        <v>76</v>
      </c>
      <c r="J22" s="1" t="s">
        <v>22</v>
      </c>
      <c r="K22" s="1">
        <v>24.5</v>
      </c>
      <c r="L22" s="1"/>
      <c r="M22" s="1" t="s">
        <v>23</v>
      </c>
      <c r="N22" s="1" t="s">
        <v>24</v>
      </c>
      <c r="O22" s="2">
        <v>46105</v>
      </c>
      <c r="P22" s="1"/>
    </row>
    <row r="23" spans="1:16">
      <c r="A23" s="1" t="s">
        <v>115</v>
      </c>
      <c r="B23" s="1" t="s">
        <v>17</v>
      </c>
      <c r="C23" s="1" t="s">
        <v>107</v>
      </c>
      <c r="D23" s="1" t="s">
        <v>116</v>
      </c>
      <c r="E23" s="1" t="s">
        <v>99</v>
      </c>
      <c r="F23" s="1" t="s">
        <v>20</v>
      </c>
      <c r="G23" s="1" t="s">
        <v>82</v>
      </c>
      <c r="H23" s="2">
        <v>46106</v>
      </c>
      <c r="I23" s="1" t="s">
        <v>27</v>
      </c>
      <c r="J23" s="1" t="s">
        <v>22</v>
      </c>
      <c r="K23" s="1">
        <v>32.5</v>
      </c>
      <c r="L23" s="1"/>
      <c r="M23" s="1" t="s">
        <v>23</v>
      </c>
      <c r="N23" s="1" t="s">
        <v>24</v>
      </c>
      <c r="O23" s="2">
        <v>46106</v>
      </c>
      <c r="P23" s="1"/>
    </row>
    <row r="24" spans="1:16">
      <c r="A24" s="1" t="s">
        <v>117</v>
      </c>
      <c r="B24" s="1" t="s">
        <v>17</v>
      </c>
      <c r="C24" s="1" t="s">
        <v>85</v>
      </c>
      <c r="D24" s="1" t="s">
        <v>118</v>
      </c>
      <c r="E24" s="1" t="s">
        <v>87</v>
      </c>
      <c r="F24" s="1" t="s">
        <v>88</v>
      </c>
      <c r="G24" s="1" t="s">
        <v>20</v>
      </c>
      <c r="H24" s="2">
        <v>46104</v>
      </c>
      <c r="I24" s="1" t="s">
        <v>89</v>
      </c>
      <c r="J24" s="1" t="s">
        <v>22</v>
      </c>
      <c r="K24" s="1">
        <v>35.5</v>
      </c>
      <c r="L24" s="1"/>
      <c r="M24" s="1" t="s">
        <v>23</v>
      </c>
      <c r="N24" s="1" t="s">
        <v>90</v>
      </c>
      <c r="O24" s="2">
        <v>46104</v>
      </c>
      <c r="P24" s="1"/>
    </row>
    <row r="25" spans="1:16">
      <c r="A25" s="1" t="s">
        <v>119</v>
      </c>
      <c r="B25" s="1" t="s">
        <v>17</v>
      </c>
      <c r="C25" s="1" t="s">
        <v>120</v>
      </c>
      <c r="D25" s="1" t="s">
        <v>35</v>
      </c>
      <c r="E25" s="1" t="s">
        <v>68</v>
      </c>
      <c r="F25" s="1" t="s">
        <v>19</v>
      </c>
      <c r="G25" s="1" t="s">
        <v>53</v>
      </c>
      <c r="H25" s="2">
        <v>46107</v>
      </c>
      <c r="I25" s="1" t="s">
        <v>21</v>
      </c>
      <c r="J25" s="1" t="s">
        <v>22</v>
      </c>
      <c r="K25" s="1">
        <v>119.3</v>
      </c>
      <c r="L25" s="1"/>
      <c r="M25" s="1" t="s">
        <v>23</v>
      </c>
      <c r="N25" s="1" t="s">
        <v>71</v>
      </c>
      <c r="O25" s="2">
        <v>46106</v>
      </c>
      <c r="P25" s="1"/>
    </row>
    <row r="26" spans="1:16">
      <c r="A26" s="1" t="s">
        <v>121</v>
      </c>
      <c r="B26" s="1" t="s">
        <v>17</v>
      </c>
      <c r="C26" s="1" t="s">
        <v>122</v>
      </c>
      <c r="D26" s="1" t="s">
        <v>123</v>
      </c>
      <c r="E26" s="1" t="s">
        <v>99</v>
      </c>
      <c r="F26" s="1" t="s">
        <v>20</v>
      </c>
      <c r="G26" s="1" t="s">
        <v>26</v>
      </c>
      <c r="H26" s="2">
        <v>46106</v>
      </c>
      <c r="I26" s="1" t="s">
        <v>76</v>
      </c>
      <c r="J26" s="1" t="s">
        <v>22</v>
      </c>
      <c r="K26" s="1">
        <v>25</v>
      </c>
      <c r="L26" s="1"/>
      <c r="M26" s="1" t="s">
        <v>23</v>
      </c>
      <c r="N26" s="1" t="s">
        <v>24</v>
      </c>
      <c r="O26" s="2">
        <v>46106</v>
      </c>
      <c r="P26" s="1"/>
    </row>
    <row r="27" spans="1:16">
      <c r="A27" s="1" t="s">
        <v>124</v>
      </c>
      <c r="B27" s="1" t="s">
        <v>17</v>
      </c>
      <c r="C27" s="1" t="s">
        <v>122</v>
      </c>
      <c r="D27" s="1" t="s">
        <v>125</v>
      </c>
      <c r="E27" s="1" t="s">
        <v>18</v>
      </c>
      <c r="F27" s="1" t="s">
        <v>19</v>
      </c>
      <c r="G27" s="1" t="s">
        <v>20</v>
      </c>
      <c r="H27" s="2">
        <v>46106</v>
      </c>
      <c r="I27" s="1" t="s">
        <v>30</v>
      </c>
      <c r="J27" s="1" t="s">
        <v>22</v>
      </c>
      <c r="K27" s="1">
        <v>60</v>
      </c>
      <c r="L27" s="1"/>
      <c r="M27" s="1" t="s">
        <v>23</v>
      </c>
      <c r="N27" s="1" t="s">
        <v>24</v>
      </c>
      <c r="O27" s="2">
        <v>46106</v>
      </c>
      <c r="P27" s="1"/>
    </row>
    <row r="28" spans="1:16">
      <c r="A28" s="1" t="s">
        <v>126</v>
      </c>
      <c r="B28" s="1" t="s">
        <v>17</v>
      </c>
      <c r="C28" s="1" t="s">
        <v>127</v>
      </c>
      <c r="D28" s="1" t="s">
        <v>128</v>
      </c>
      <c r="E28" s="1" t="s">
        <v>25</v>
      </c>
      <c r="F28" s="1" t="s">
        <v>20</v>
      </c>
      <c r="G28" s="1" t="s">
        <v>82</v>
      </c>
      <c r="H28" s="2">
        <v>46106</v>
      </c>
      <c r="I28" s="1" t="s">
        <v>76</v>
      </c>
      <c r="J28" s="1" t="s">
        <v>22</v>
      </c>
      <c r="K28" s="1">
        <v>22.5</v>
      </c>
      <c r="L28" s="1"/>
      <c r="M28" s="1" t="s">
        <v>23</v>
      </c>
      <c r="N28" s="1" t="s">
        <v>83</v>
      </c>
      <c r="O28" s="2">
        <v>46105</v>
      </c>
      <c r="P28" s="1"/>
    </row>
    <row r="29" spans="1:16">
      <c r="A29" s="1" t="s">
        <v>129</v>
      </c>
      <c r="B29" s="1" t="s">
        <v>17</v>
      </c>
      <c r="C29" s="1" t="s">
        <v>127</v>
      </c>
      <c r="D29" s="1" t="s">
        <v>130</v>
      </c>
      <c r="E29" s="1" t="s">
        <v>25</v>
      </c>
      <c r="F29" s="1" t="s">
        <v>20</v>
      </c>
      <c r="G29" s="1" t="s">
        <v>82</v>
      </c>
      <c r="H29" s="2">
        <v>46106</v>
      </c>
      <c r="I29" s="1" t="s">
        <v>76</v>
      </c>
      <c r="J29" s="1" t="s">
        <v>22</v>
      </c>
      <c r="K29" s="1">
        <v>23</v>
      </c>
      <c r="L29" s="1"/>
      <c r="M29" s="1" t="s">
        <v>23</v>
      </c>
      <c r="N29" s="1" t="s">
        <v>83</v>
      </c>
      <c r="O29" s="2">
        <v>46105</v>
      </c>
      <c r="P29" s="1"/>
    </row>
  </sheetData>
  <autoFilter ref="A2:O11">
    <sortState ref="A3:P31">
      <sortCondition ref="M2:M16"/>
    </sortState>
  </autoFilter>
  <mergeCells count="2">
    <mergeCell ref="A1:B1"/>
    <mergeCell ref="C1:P1"/>
  </mergeCells>
  <phoneticPr fontId="2" type="noConversion"/>
  <pageMargins left="0" right="0" top="0" bottom="0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APP+头缸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2026-03-26T06:58:30Z</dcterms:modified>
</cp:coreProperties>
</file>