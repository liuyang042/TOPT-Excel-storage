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3040" windowHeight="96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9" i="1" l="1"/>
  <c r="F38" i="1"/>
</calcChain>
</file>

<file path=xl/sharedStrings.xml><?xml version="1.0" encoding="utf-8"?>
<sst xmlns="http://schemas.openxmlformats.org/spreadsheetml/2006/main" count="52" uniqueCount="39">
  <si>
    <t>TOPT QR Order Completion Status Analysis （VTB）</t>
  </si>
  <si>
    <t>Date Range</t>
  </si>
  <si>
    <t xml:space="preserve">2026-3-16   TO  2026-3-22 </t>
  </si>
  <si>
    <t>ITEM</t>
  </si>
  <si>
    <t>Ratio </t>
  </si>
  <si>
    <t xml:space="preserve">2026-3-23   TO  2026-3-29 </t>
  </si>
  <si>
    <t>On-time Ratio 
within 8 Days</t>
  </si>
  <si>
    <t>Setting Time
(Day)</t>
  </si>
  <si>
    <t xml:space="preserve">2026-3-30   TO  2026-4-05 </t>
  </si>
  <si>
    <t xml:space="preserve">2026-4-06   TO  2026-4-12 </t>
  </si>
  <si>
    <t xml:space="preserve">2026-4-13   TO  2026-4-19 </t>
  </si>
  <si>
    <t xml:space="preserve">2026-4-20   TO  2026-4-26 </t>
  </si>
  <si>
    <t>2026-4-27   TO  2026-5-03</t>
  </si>
  <si>
    <t>2026-5-04   TO  2026-5-10</t>
  </si>
  <si>
    <t>2026-5-11   TO  2026-5-17</t>
  </si>
  <si>
    <t>2026-5-18   TO  2026-5-24</t>
  </si>
  <si>
    <t>2026-5-25   TO  2026-5-31</t>
  </si>
  <si>
    <t>2026-6-01   TO  2026-6-07</t>
  </si>
  <si>
    <t>Dyeing Time
(Day)</t>
  </si>
  <si>
    <t> Finishing Time
(Day)</t>
  </si>
  <si>
    <t>QA Time 
(Day)</t>
  </si>
  <si>
    <t>Total Time
(Day)</t>
  </si>
  <si>
    <t>2026-6-08   TO  2026-6-14</t>
  </si>
  <si>
    <t>2026-6-15   TO  2026-6-21</t>
    <phoneticPr fontId="7" type="noConversion"/>
  </si>
  <si>
    <t>2026-6-22   TO  2026-6-28</t>
    <phoneticPr fontId="7" type="noConversion"/>
  </si>
  <si>
    <t>2026-6-29   TO  2026-7-05</t>
  </si>
  <si>
    <t>2026-7-06   TO  2026-7-12</t>
  </si>
  <si>
    <t>2026-7-13   TO  2026-7-19</t>
  </si>
  <si>
    <t>2026-7-20   TO  2026-7-26</t>
  </si>
  <si>
    <t>TOPT QR Order Completion Status Analysis （VTF）</t>
  </si>
  <si>
    <t>2026-7-27   TO  2026-8-02</t>
  </si>
  <si>
    <t>2026-8-03   TO  2026-8-09</t>
  </si>
  <si>
    <t>QTY in Dyeing(QR)</t>
  </si>
  <si>
    <t>QR order （VTB)</t>
  </si>
  <si>
    <t>QR order （VTF)</t>
  </si>
  <si>
    <t>2026-8-10   TO  2026-8-16</t>
  </si>
  <si>
    <t>QTY in Dyeing(Non-QR)</t>
  </si>
  <si>
    <t>2026-8-17   TO  2026-8-23</t>
  </si>
  <si>
    <t xml:space="preserve">2026.08.24  Orders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</si>
</sst>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_ ;_ * \-#,##0_ ;_ * &quot;-&quot;??_ ;_ @_ "/>
  </numFmts>
  <fonts count="13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14"/>
      <color theme="1"/>
      <name val="等线"/>
      <family val="2"/>
      <scheme val="minor"/>
    </font>
    <font>
      <sz val="18"/>
      <color theme="1"/>
      <name val="等线"/>
      <family val="2"/>
      <scheme val="minor"/>
    </font>
    <font>
      <sz val="14"/>
      <color rgb="FF333333"/>
      <name val="SimSun"/>
    </font>
    <font>
      <sz val="10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等线"/>
      <family val="2"/>
      <scheme val="minor"/>
    </font>
    <font>
      <sz val="11"/>
      <color theme="0"/>
      <name val="等线"/>
      <family val="2"/>
      <scheme val="minor"/>
    </font>
    <font>
      <sz val="11"/>
      <name val="等线"/>
      <family val="2"/>
      <scheme val="minor"/>
    </font>
    <font>
      <sz val="12"/>
      <color rgb="FF0F1115"/>
      <name val="Segoe UI"/>
      <family val="2"/>
    </font>
    <font>
      <sz val="14"/>
      <color rgb="FF0F1115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6" fillId="0" borderId="0" xfId="0" applyFont="1"/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43" fontId="5" fillId="0" borderId="1" xfId="1" applyFont="1" applyFill="1" applyBorder="1" applyAlignment="1">
      <alignment horizontal="center"/>
    </xf>
    <xf numFmtId="9" fontId="3" fillId="0" borderId="1" xfId="2" applyFont="1" applyBorder="1" applyAlignme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9" fontId="5" fillId="0" borderId="1" xfId="2" applyFont="1" applyFill="1" applyBorder="1" applyAlignment="1"/>
    <xf numFmtId="0" fontId="3" fillId="0" borderId="1" xfId="0" applyFont="1" applyBorder="1" applyAlignment="1">
      <alignment horizontal="center"/>
    </xf>
    <xf numFmtId="0" fontId="0" fillId="0" borderId="0" xfId="0"/>
    <xf numFmtId="0" fontId="3" fillId="0" borderId="1" xfId="0" applyFont="1" applyBorder="1"/>
    <xf numFmtId="0" fontId="8" fillId="0" borderId="0" xfId="0" applyFont="1"/>
    <xf numFmtId="0" fontId="9" fillId="0" borderId="0" xfId="0" applyFont="1"/>
    <xf numFmtId="0" fontId="3" fillId="0" borderId="1" xfId="0" applyFont="1" applyBorder="1" applyAlignment="1">
      <alignment horizontal="center"/>
    </xf>
    <xf numFmtId="164" fontId="10" fillId="0" borderId="0" xfId="0" applyNumberFormat="1" applyFont="1"/>
    <xf numFmtId="0" fontId="3" fillId="4" borderId="1" xfId="0" applyFont="1" applyFill="1" applyBorder="1"/>
    <xf numFmtId="0" fontId="12" fillId="3" borderId="1" xfId="0" applyFont="1" applyFill="1" applyBorder="1" applyAlignment="1">
      <alignment horizontal="center" wrapText="1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164" fontId="3" fillId="0" borderId="3" xfId="3" applyNumberFormat="1" applyFont="1" applyBorder="1" applyAlignment="1">
      <alignment horizontal="center"/>
    </xf>
    <xf numFmtId="164" fontId="3" fillId="0" borderId="4" xfId="3" applyNumberFormat="1" applyFont="1" applyBorder="1" applyAlignment="1">
      <alignment horizontal="center"/>
    </xf>
    <xf numFmtId="164" fontId="3" fillId="0" borderId="3" xfId="1" applyNumberFormat="1" applyFont="1" applyBorder="1" applyAlignment="1">
      <alignment horizontal="center"/>
    </xf>
    <xf numFmtId="164" fontId="3" fillId="0" borderId="4" xfId="1" applyNumberFormat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</cellXfs>
  <cellStyles count="4">
    <cellStyle name="Comma" xfId="1" builtinId="3"/>
    <cellStyle name="Normal" xfId="0" builtinId="0"/>
    <cellStyle name="Percent" xfId="2" builtinId="5"/>
    <cellStyle name="千位分隔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42"/>
  <sheetViews>
    <sheetView showGridLines="0" tabSelected="1" workbookViewId="0">
      <selection activeCell="H46" sqref="H46"/>
    </sheetView>
  </sheetViews>
  <sheetFormatPr defaultRowHeight="14.25"/>
  <cols>
    <col min="1" max="1" width="29.75" bestFit="1" customWidth="1"/>
    <col min="2" max="7" width="14.875" customWidth="1"/>
    <col min="8" max="8" width="4.375" customWidth="1"/>
  </cols>
  <sheetData>
    <row r="1" spans="1:8" ht="23.25">
      <c r="A1" s="21" t="s">
        <v>0</v>
      </c>
      <c r="B1" s="21"/>
      <c r="C1" s="21"/>
      <c r="D1" s="21"/>
      <c r="E1" s="21"/>
      <c r="F1" s="21"/>
      <c r="G1" s="21"/>
      <c r="H1" s="2"/>
    </row>
    <row r="2" spans="1:8" s="1" customFormat="1" ht="34.5">
      <c r="A2" s="18" t="s">
        <v>1</v>
      </c>
      <c r="B2" s="19" t="s">
        <v>7</v>
      </c>
      <c r="C2" s="19" t="s">
        <v>18</v>
      </c>
      <c r="D2" s="19" t="s">
        <v>19</v>
      </c>
      <c r="E2" s="19" t="s">
        <v>20</v>
      </c>
      <c r="F2" s="19" t="s">
        <v>21</v>
      </c>
      <c r="G2" s="20" t="s">
        <v>6</v>
      </c>
    </row>
    <row r="3" spans="1:8" ht="18.75" hidden="1">
      <c r="A3" s="3" t="s">
        <v>2</v>
      </c>
      <c r="B3" s="4">
        <v>2.84</v>
      </c>
      <c r="C3" s="4">
        <v>3.12</v>
      </c>
      <c r="D3" s="4">
        <v>1.3085714285714301</v>
      </c>
      <c r="E3" s="4">
        <v>0.54285714285714304</v>
      </c>
      <c r="F3" s="4">
        <v>7.8114285714285696</v>
      </c>
      <c r="G3" s="5">
        <v>0.72</v>
      </c>
    </row>
    <row r="4" spans="1:8" ht="18.75" hidden="1">
      <c r="A4" s="3" t="s">
        <v>5</v>
      </c>
      <c r="B4" s="4">
        <v>1.80808080808081</v>
      </c>
      <c r="C4" s="4">
        <v>3.2626262626262599</v>
      </c>
      <c r="D4" s="4">
        <v>1.3838383838383801</v>
      </c>
      <c r="E4" s="4">
        <v>0.39393939393939398</v>
      </c>
      <c r="F4" s="4">
        <v>6.8484848484848504</v>
      </c>
      <c r="G4" s="5">
        <v>0.8</v>
      </c>
    </row>
    <row r="5" spans="1:8" ht="18.75" hidden="1">
      <c r="A5" s="3" t="s">
        <v>8</v>
      </c>
      <c r="B5" s="4">
        <v>1.63793103448276</v>
      </c>
      <c r="C5" s="4">
        <v>2.9827586206896601</v>
      </c>
      <c r="D5" s="4">
        <v>1.2413793103448301</v>
      </c>
      <c r="E5" s="4">
        <v>0.48275862068965503</v>
      </c>
      <c r="F5" s="4">
        <v>6.3448275862069003</v>
      </c>
      <c r="G5" s="5">
        <v>0.89655172413793105</v>
      </c>
    </row>
    <row r="6" spans="1:8" ht="18.75" hidden="1">
      <c r="A6" s="3" t="s">
        <v>9</v>
      </c>
      <c r="B6" s="4">
        <v>1.7045454545454499</v>
      </c>
      <c r="C6" s="4">
        <v>3.1136363636363602</v>
      </c>
      <c r="D6" s="4">
        <v>2.8181818181818201</v>
      </c>
      <c r="E6" s="4">
        <v>0.18181818181818199</v>
      </c>
      <c r="F6" s="4">
        <v>7.8181818181818201</v>
      </c>
      <c r="G6" s="5">
        <v>0.75</v>
      </c>
    </row>
    <row r="7" spans="1:8" ht="18.75" hidden="1">
      <c r="A7" s="3" t="s">
        <v>10</v>
      </c>
      <c r="B7" s="4">
        <v>1.7446808510638301</v>
      </c>
      <c r="C7" s="4">
        <v>3.4468085106383</v>
      </c>
      <c r="D7" s="4">
        <v>1.8936170212765999</v>
      </c>
      <c r="E7" s="4">
        <v>0.40425531914893598</v>
      </c>
      <c r="F7" s="4">
        <v>7.4893617021276597</v>
      </c>
      <c r="G7" s="5">
        <v>0.82978723404255295</v>
      </c>
    </row>
    <row r="8" spans="1:8" ht="18.75" hidden="1">
      <c r="A8" s="3" t="s">
        <v>11</v>
      </c>
      <c r="B8" s="4">
        <v>1.72058823529412</v>
      </c>
      <c r="C8" s="4">
        <v>3.7647058823529398</v>
      </c>
      <c r="D8" s="4">
        <v>2.5882352941176499</v>
      </c>
      <c r="E8" s="4">
        <v>0.47058823529411797</v>
      </c>
      <c r="F8" s="4">
        <v>8.5441176470588207</v>
      </c>
      <c r="G8" s="5">
        <v>0.56000000000000005</v>
      </c>
    </row>
    <row r="9" spans="1:8" ht="18.75" hidden="1">
      <c r="A9" s="3" t="s">
        <v>12</v>
      </c>
      <c r="B9" s="4">
        <v>2.5</v>
      </c>
      <c r="C9" s="4">
        <v>3.625</v>
      </c>
      <c r="D9" s="4">
        <v>1.40625</v>
      </c>
      <c r="E9" s="4">
        <v>0.84375</v>
      </c>
      <c r="F9" s="4">
        <v>8.375</v>
      </c>
      <c r="G9" s="5">
        <v>0.5625</v>
      </c>
    </row>
    <row r="10" spans="1:8" ht="18.75" hidden="1">
      <c r="A10" s="3" t="s">
        <v>13</v>
      </c>
      <c r="B10" s="4">
        <v>2.4354838709677402</v>
      </c>
      <c r="C10" s="4">
        <v>7.8387096774193603</v>
      </c>
      <c r="D10" s="4">
        <v>1.4677419354838701</v>
      </c>
      <c r="E10" s="4">
        <v>0.467741935483871</v>
      </c>
      <c r="F10" s="4">
        <v>12.209677419354801</v>
      </c>
      <c r="G10" s="5">
        <v>0.18</v>
      </c>
    </row>
    <row r="11" spans="1:8" ht="18.75" hidden="1">
      <c r="A11" s="3" t="s">
        <v>14</v>
      </c>
      <c r="B11" s="4">
        <v>2.9178082191780801</v>
      </c>
      <c r="C11" s="4">
        <v>8.2876712328767095</v>
      </c>
      <c r="D11" s="4">
        <v>1.34246575342466</v>
      </c>
      <c r="E11" s="4">
        <v>0.49315068493150699</v>
      </c>
      <c r="F11" s="4">
        <v>13.041095890411</v>
      </c>
      <c r="G11" s="5">
        <v>0.28999999999999998</v>
      </c>
    </row>
    <row r="12" spans="1:8" ht="18.75" hidden="1">
      <c r="A12" s="3" t="s">
        <v>15</v>
      </c>
      <c r="B12" s="4">
        <v>3.6341463414634099</v>
      </c>
      <c r="C12" s="4">
        <v>6.5365853658536599</v>
      </c>
      <c r="D12" s="4">
        <v>1.75609756097561</v>
      </c>
      <c r="E12" s="4">
        <v>0.73170731707317105</v>
      </c>
      <c r="F12" s="4">
        <v>12.6585365853659</v>
      </c>
      <c r="G12" s="5">
        <v>0.2</v>
      </c>
    </row>
    <row r="13" spans="1:8" ht="18.75" hidden="1">
      <c r="A13" s="3" t="s">
        <v>16</v>
      </c>
      <c r="B13" s="4">
        <v>1.5</v>
      </c>
      <c r="C13" s="4">
        <v>3.6153846153846199</v>
      </c>
      <c r="D13" s="4">
        <v>1.1923076923076901</v>
      </c>
      <c r="E13" s="4">
        <v>0.61538461538461497</v>
      </c>
      <c r="F13" s="4">
        <v>6.9230769230769198</v>
      </c>
      <c r="G13" s="5">
        <v>0.88</v>
      </c>
    </row>
    <row r="14" spans="1:8" ht="18.75" hidden="1">
      <c r="A14" s="3" t="s">
        <v>17</v>
      </c>
      <c r="B14" s="4">
        <v>0</v>
      </c>
      <c r="C14" s="4">
        <v>3.5</v>
      </c>
      <c r="D14" s="4">
        <v>1</v>
      </c>
      <c r="E14" s="4">
        <v>0.5</v>
      </c>
      <c r="F14" s="4">
        <v>5</v>
      </c>
      <c r="G14" s="5">
        <v>1</v>
      </c>
    </row>
    <row r="15" spans="1:8" ht="18.75" hidden="1">
      <c r="A15" s="3" t="s">
        <v>22</v>
      </c>
      <c r="B15" s="4">
        <v>2.1333333333333302</v>
      </c>
      <c r="C15" s="4">
        <v>2.56</v>
      </c>
      <c r="D15" s="4">
        <v>1.4266666666666701</v>
      </c>
      <c r="E15" s="4">
        <v>0.6</v>
      </c>
      <c r="F15" s="4">
        <v>6.72</v>
      </c>
      <c r="G15" s="5">
        <v>0.88</v>
      </c>
    </row>
    <row r="16" spans="1:8" ht="18.75" hidden="1">
      <c r="A16" s="6" t="s">
        <v>23</v>
      </c>
      <c r="B16" s="4">
        <v>0.95652173913043503</v>
      </c>
      <c r="C16" s="4">
        <v>3.2898550724637698</v>
      </c>
      <c r="D16" s="4">
        <v>1.3768115942029</v>
      </c>
      <c r="E16" s="4">
        <v>0.49275362318840599</v>
      </c>
      <c r="F16" s="4">
        <v>6.1159420289855104</v>
      </c>
      <c r="G16" s="5">
        <v>0.94</v>
      </c>
    </row>
    <row r="17" spans="1:7" ht="18.75" hidden="1">
      <c r="A17" s="6" t="s">
        <v>24</v>
      </c>
      <c r="B17" s="4">
        <v>2.39393939393939</v>
      </c>
      <c r="C17" s="4">
        <v>2.9393939393939399</v>
      </c>
      <c r="D17" s="4">
        <v>1.6969696969696999</v>
      </c>
      <c r="E17" s="4">
        <v>0.60606060606060597</v>
      </c>
      <c r="F17" s="4">
        <v>7.6363636363636402</v>
      </c>
      <c r="G17" s="5">
        <v>0.67</v>
      </c>
    </row>
    <row r="18" spans="1:7" ht="18.75" hidden="1">
      <c r="A18" s="6" t="s">
        <v>25</v>
      </c>
      <c r="B18" s="4">
        <v>1.6</v>
      </c>
      <c r="C18" s="4">
        <v>4.4000000000000004</v>
      </c>
      <c r="D18" s="4">
        <v>1</v>
      </c>
      <c r="E18" s="4">
        <v>0</v>
      </c>
      <c r="F18" s="4">
        <v>7</v>
      </c>
      <c r="G18" s="5">
        <v>1</v>
      </c>
    </row>
    <row r="19" spans="1:7" ht="18.75" hidden="1">
      <c r="A19" s="6" t="s">
        <v>26</v>
      </c>
      <c r="B19" s="4">
        <v>1.4</v>
      </c>
      <c r="C19" s="4">
        <v>1.86666666666667</v>
      </c>
      <c r="D19" s="4">
        <v>1.5333333333333301</v>
      </c>
      <c r="E19" s="4">
        <v>0.8</v>
      </c>
      <c r="F19" s="4">
        <v>5.6</v>
      </c>
      <c r="G19" s="5">
        <v>1</v>
      </c>
    </row>
    <row r="20" spans="1:7" ht="18.75" hidden="1">
      <c r="A20" s="7" t="s">
        <v>27</v>
      </c>
      <c r="B20" s="4">
        <v>0.16666666666666699</v>
      </c>
      <c r="C20" s="4">
        <v>4.4166666666666696</v>
      </c>
      <c r="D20" s="4">
        <v>1.1666666666666701</v>
      </c>
      <c r="E20" s="4">
        <v>0.5</v>
      </c>
      <c r="F20" s="4">
        <v>6.25</v>
      </c>
      <c r="G20" s="5">
        <v>0.92</v>
      </c>
    </row>
    <row r="21" spans="1:7" ht="18.75" hidden="1">
      <c r="A21" s="7" t="s">
        <v>28</v>
      </c>
      <c r="B21" s="4">
        <v>1.625</v>
      </c>
      <c r="C21" s="4">
        <v>5.75</v>
      </c>
      <c r="D21" s="4">
        <v>2.125</v>
      </c>
      <c r="E21" s="4">
        <v>0.625</v>
      </c>
      <c r="F21" s="4">
        <v>10.125</v>
      </c>
      <c r="G21" s="5">
        <v>0.38</v>
      </c>
    </row>
    <row r="22" spans="1:7" ht="18.75" hidden="1">
      <c r="A22" s="14" t="s">
        <v>30</v>
      </c>
      <c r="B22" s="4">
        <v>3.3076923076923102</v>
      </c>
      <c r="C22" s="4">
        <v>4.2307692307692299</v>
      </c>
      <c r="D22" s="4">
        <v>4.0769230769230802</v>
      </c>
      <c r="E22" s="4">
        <v>0.69230769230769196</v>
      </c>
      <c r="F22" s="4">
        <v>12.307692307692299</v>
      </c>
      <c r="G22" s="5">
        <v>0.15</v>
      </c>
    </row>
    <row r="23" spans="1:7" ht="18.75">
      <c r="A23" s="14" t="s">
        <v>31</v>
      </c>
      <c r="B23" s="4">
        <v>3.7916666666666701</v>
      </c>
      <c r="C23" s="4">
        <v>4.9583333333333304</v>
      </c>
      <c r="D23" s="4">
        <v>5.2916666666666696</v>
      </c>
      <c r="E23" s="4">
        <v>1.3333333333333299</v>
      </c>
      <c r="F23" s="4">
        <v>15.375</v>
      </c>
      <c r="G23" s="5">
        <v>0.13</v>
      </c>
    </row>
    <row r="24" spans="1:7" s="10" customFormat="1" ht="18.75">
      <c r="A24" s="14" t="s">
        <v>35</v>
      </c>
      <c r="B24" s="4">
        <v>3</v>
      </c>
      <c r="C24" s="4">
        <v>2.75</v>
      </c>
      <c r="D24" s="4">
        <v>3.25</v>
      </c>
      <c r="E24" s="4">
        <v>1</v>
      </c>
      <c r="F24" s="4">
        <v>10</v>
      </c>
      <c r="G24" s="5">
        <v>0.54</v>
      </c>
    </row>
    <row r="25" spans="1:7" s="10" customFormat="1" ht="18.75">
      <c r="A25" s="14" t="s">
        <v>37</v>
      </c>
      <c r="B25" s="4">
        <v>3.6666666666666701</v>
      </c>
      <c r="C25" s="4">
        <v>3.0476190476190501</v>
      </c>
      <c r="D25" s="4">
        <v>1.61904761904762</v>
      </c>
      <c r="E25" s="4">
        <v>0.90476190476190499</v>
      </c>
      <c r="F25" s="4">
        <v>9.2380952380952408</v>
      </c>
      <c r="G25" s="5">
        <v>0.43</v>
      </c>
    </row>
    <row r="27" spans="1:7" ht="23.25">
      <c r="A27" s="21" t="s">
        <v>29</v>
      </c>
      <c r="B27" s="21"/>
      <c r="C27" s="21"/>
      <c r="D27" s="21"/>
      <c r="E27" s="21"/>
      <c r="F27" s="21"/>
      <c r="G27" s="21"/>
    </row>
    <row r="28" spans="1:7" ht="34.5">
      <c r="A28" s="18" t="s">
        <v>1</v>
      </c>
      <c r="B28" s="19" t="s">
        <v>7</v>
      </c>
      <c r="C28" s="19" t="s">
        <v>18</v>
      </c>
      <c r="D28" s="19" t="s">
        <v>19</v>
      </c>
      <c r="E28" s="19" t="s">
        <v>20</v>
      </c>
      <c r="F28" s="19" t="s">
        <v>21</v>
      </c>
      <c r="G28" s="20" t="s">
        <v>6</v>
      </c>
    </row>
    <row r="29" spans="1:7" ht="18.75" hidden="1">
      <c r="A29" s="9" t="s">
        <v>27</v>
      </c>
      <c r="B29" s="4">
        <v>2.375</v>
      </c>
      <c r="C29" s="4">
        <v>3.875</v>
      </c>
      <c r="D29" s="4">
        <v>3.375</v>
      </c>
      <c r="E29" s="4">
        <v>2.0625</v>
      </c>
      <c r="F29" s="4">
        <v>11.6875</v>
      </c>
      <c r="G29" s="8">
        <v>0</v>
      </c>
    </row>
    <row r="30" spans="1:7" ht="18.75" hidden="1">
      <c r="A30" s="9" t="s">
        <v>28</v>
      </c>
      <c r="B30" s="4">
        <v>0</v>
      </c>
      <c r="C30" s="4">
        <v>3.1666666666666701</v>
      </c>
      <c r="D30" s="4">
        <v>1</v>
      </c>
      <c r="E30" s="4">
        <v>0.5</v>
      </c>
      <c r="F30" s="4">
        <v>4.6666666666666696</v>
      </c>
      <c r="G30" s="8">
        <v>1</v>
      </c>
    </row>
    <row r="31" spans="1:7" ht="18.75" hidden="1">
      <c r="A31" s="14" t="s">
        <v>30</v>
      </c>
      <c r="B31" s="4">
        <v>0.88888888888888895</v>
      </c>
      <c r="C31" s="4">
        <v>2.7777777777777799</v>
      </c>
      <c r="D31" s="4">
        <v>2.5</v>
      </c>
      <c r="E31" s="4">
        <v>0.44444444444444398</v>
      </c>
      <c r="F31" s="4">
        <v>6.6111111111111098</v>
      </c>
      <c r="G31" s="5">
        <v>0.94</v>
      </c>
    </row>
    <row r="32" spans="1:7" ht="18.75">
      <c r="A32" s="14" t="s">
        <v>31</v>
      </c>
      <c r="B32" s="4">
        <v>2.9473684210526301</v>
      </c>
      <c r="C32" s="4">
        <v>2.3421052631578898</v>
      </c>
      <c r="D32" s="4">
        <v>3.1842105263157898</v>
      </c>
      <c r="E32" s="4">
        <v>1.26315789473684</v>
      </c>
      <c r="F32" s="4">
        <v>9.7368421052631593</v>
      </c>
      <c r="G32" s="5">
        <v>0.32</v>
      </c>
    </row>
    <row r="33" spans="1:7" s="10" customFormat="1" ht="18.75">
      <c r="A33" s="14" t="s">
        <v>35</v>
      </c>
      <c r="B33" s="4">
        <v>1.6756756756756801</v>
      </c>
      <c r="C33" s="4">
        <v>3.13513513513514</v>
      </c>
      <c r="D33" s="4">
        <v>2.0810810810810798</v>
      </c>
      <c r="E33" s="4">
        <v>1.0540540540540499</v>
      </c>
      <c r="F33" s="4">
        <v>7.9459459459459501</v>
      </c>
      <c r="G33" s="5">
        <v>0.62</v>
      </c>
    </row>
    <row r="34" spans="1:7" s="10" customFormat="1" ht="18.75">
      <c r="A34" s="14" t="s">
        <v>37</v>
      </c>
      <c r="B34" s="4">
        <v>2.3666666666666698</v>
      </c>
      <c r="C34" s="4">
        <v>2.6666666666666701</v>
      </c>
      <c r="D34" s="4">
        <v>2.06666666666667</v>
      </c>
      <c r="E34" s="4">
        <v>1</v>
      </c>
      <c r="F34" s="4">
        <v>8.1</v>
      </c>
      <c r="G34" s="5">
        <v>0.7</v>
      </c>
    </row>
    <row r="36" spans="1:7" ht="20.25">
      <c r="A36" s="12" t="s">
        <v>38</v>
      </c>
      <c r="B36" s="10"/>
      <c r="C36" s="10"/>
      <c r="D36" s="10"/>
      <c r="E36" s="10"/>
      <c r="G36" s="13"/>
    </row>
    <row r="37" spans="1:7" ht="20.25">
      <c r="A37" s="16" t="s">
        <v>3</v>
      </c>
      <c r="B37" s="22" t="s">
        <v>32</v>
      </c>
      <c r="C37" s="22"/>
      <c r="D37" s="22" t="s">
        <v>36</v>
      </c>
      <c r="E37" s="22"/>
      <c r="F37" s="17" t="s">
        <v>4</v>
      </c>
      <c r="G37" s="13"/>
    </row>
    <row r="38" spans="1:7" ht="18">
      <c r="A38" s="11" t="s">
        <v>33</v>
      </c>
      <c r="B38" s="23">
        <v>8732</v>
      </c>
      <c r="C38" s="24"/>
      <c r="D38" s="27">
        <v>192261</v>
      </c>
      <c r="E38" s="27"/>
      <c r="F38" s="5">
        <f>IFERROR(B38/(B38+D38),"")</f>
        <v>4.3444299055190976E-2</v>
      </c>
      <c r="G38" s="15"/>
    </row>
    <row r="39" spans="1:7" ht="18">
      <c r="A39" s="11" t="s">
        <v>34</v>
      </c>
      <c r="B39" s="25">
        <v>326</v>
      </c>
      <c r="C39" s="26"/>
      <c r="D39" s="25">
        <v>33009</v>
      </c>
      <c r="E39" s="26"/>
      <c r="F39" s="5">
        <f>IFERROR(B39/(B39+D39),"")</f>
        <v>9.7795110244487775E-3</v>
      </c>
      <c r="G39" s="15"/>
    </row>
    <row r="40" spans="1:7">
      <c r="G40" s="13"/>
    </row>
    <row r="41" spans="1:7">
      <c r="G41" s="13"/>
    </row>
    <row r="42" spans="1:7">
      <c r="G42" s="13"/>
    </row>
  </sheetData>
  <mergeCells count="8">
    <mergeCell ref="A1:G1"/>
    <mergeCell ref="A27:G27"/>
    <mergeCell ref="B37:C37"/>
    <mergeCell ref="B38:C38"/>
    <mergeCell ref="B39:C39"/>
    <mergeCell ref="D37:E37"/>
    <mergeCell ref="D38:E38"/>
    <mergeCell ref="D39:E39"/>
  </mergeCells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2026-08-24T01:02:38Z</dcterms:modified>
</cp:coreProperties>
</file>